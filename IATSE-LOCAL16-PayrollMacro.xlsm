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120" windowWidth="19440" windowHeight="10485"/>
  </bookViews>
  <sheets>
    <sheet name="PDF Information" sheetId="1" r:id="rId1"/>
    <sheet name="Wage and Name" sheetId="10" r:id="rId2"/>
    <sheet name="Filtered Information" sheetId="11" r:id="rId3"/>
    <sheet name="Payroll Sheet" sheetId="9" r:id="rId4"/>
  </sheets>
  <definedNames>
    <definedName name="ADDITION">'Payroll Sheet'!$A$332</definedName>
    <definedName name="_xlnm.Criteria">'Payroll Sheet'!#REF!</definedName>
    <definedName name="_xlnm.Database">'Payroll Sheet'!$V$3:$V$8</definedName>
    <definedName name="END">'Payroll Sheet'!$N$336</definedName>
    <definedName name="FINISH">'Payroll Sheet'!$A$331</definedName>
    <definedName name="_xlnm.Print_Area" localSheetId="3">'Payroll Sheet'!$A$11:$N$336</definedName>
    <definedName name="_xlnm.Print_Titles" localSheetId="3">'Payroll Sheet'!$1:$10</definedName>
    <definedName name="START">'Payroll Sheet'!$A$11</definedName>
  </definedNames>
  <calcPr calcId="145621"/>
</workbook>
</file>

<file path=xl/calcChain.xml><?xml version="1.0" encoding="utf-8"?>
<calcChain xmlns="http://schemas.openxmlformats.org/spreadsheetml/2006/main">
  <c r="R82" i="11" l="1"/>
  <c r="R81" i="11"/>
  <c r="R80" i="11"/>
  <c r="R79" i="11"/>
  <c r="R78" i="11"/>
  <c r="R77" i="11"/>
  <c r="R76" i="11"/>
  <c r="R75" i="11"/>
  <c r="R74" i="11"/>
  <c r="R73" i="11"/>
  <c r="R72" i="11"/>
  <c r="R71" i="11"/>
  <c r="R70" i="11"/>
  <c r="R69" i="11"/>
  <c r="R68" i="11"/>
  <c r="R67" i="11"/>
  <c r="R66" i="11"/>
  <c r="R65" i="11"/>
  <c r="R64" i="11"/>
  <c r="R63" i="11"/>
  <c r="R62" i="11"/>
  <c r="R61" i="11"/>
  <c r="R60" i="11"/>
  <c r="R59" i="11"/>
  <c r="R58" i="11"/>
  <c r="R57" i="11"/>
  <c r="R56" i="11"/>
  <c r="R55" i="11"/>
  <c r="R54" i="11"/>
  <c r="R53" i="11"/>
  <c r="R52" i="11"/>
  <c r="R51" i="11"/>
  <c r="R50" i="11"/>
  <c r="R49" i="11"/>
  <c r="R48" i="11"/>
  <c r="R47" i="11"/>
  <c r="R46" i="11"/>
  <c r="R45" i="11"/>
  <c r="R44" i="11"/>
  <c r="R43" i="11"/>
  <c r="F7" i="1" l="1"/>
  <c r="F6" i="1"/>
  <c r="F5" i="1"/>
  <c r="F4" i="1"/>
  <c r="F8" i="1"/>
  <c r="F11" i="1"/>
  <c r="F10" i="1"/>
  <c r="F12" i="1"/>
  <c r="V6" i="1" l="1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V399" i="1"/>
  <c r="V400" i="1"/>
  <c r="V401" i="1"/>
  <c r="V402" i="1"/>
  <c r="V403" i="1"/>
  <c r="V404" i="1"/>
  <c r="V405" i="1"/>
  <c r="V406" i="1"/>
  <c r="V407" i="1"/>
  <c r="V408" i="1"/>
  <c r="V409" i="1"/>
  <c r="V410" i="1"/>
  <c r="V411" i="1"/>
  <c r="V412" i="1"/>
  <c r="V413" i="1"/>
  <c r="V414" i="1"/>
  <c r="V415" i="1"/>
  <c r="V416" i="1"/>
  <c r="V417" i="1"/>
  <c r="V418" i="1"/>
  <c r="V419" i="1"/>
  <c r="V420" i="1"/>
  <c r="V421" i="1"/>
  <c r="V422" i="1"/>
  <c r="V423" i="1"/>
  <c r="V424" i="1"/>
  <c r="V425" i="1"/>
  <c r="V426" i="1"/>
  <c r="V427" i="1"/>
  <c r="V428" i="1"/>
  <c r="V429" i="1"/>
  <c r="V430" i="1"/>
  <c r="V431" i="1"/>
  <c r="V432" i="1"/>
  <c r="V433" i="1"/>
  <c r="V434" i="1"/>
  <c r="V435" i="1"/>
  <c r="V436" i="1"/>
  <c r="V437" i="1"/>
  <c r="V438" i="1"/>
  <c r="V439" i="1"/>
  <c r="V440" i="1"/>
  <c r="V441" i="1"/>
  <c r="V442" i="1"/>
  <c r="V443" i="1"/>
  <c r="V444" i="1"/>
  <c r="V445" i="1"/>
  <c r="V446" i="1"/>
  <c r="V447" i="1"/>
  <c r="V448" i="1"/>
  <c r="V449" i="1"/>
  <c r="V450" i="1"/>
  <c r="V451" i="1"/>
  <c r="V452" i="1"/>
  <c r="V453" i="1"/>
  <c r="V454" i="1"/>
  <c r="V455" i="1"/>
  <c r="V456" i="1"/>
  <c r="V457" i="1"/>
  <c r="V458" i="1"/>
  <c r="V459" i="1"/>
  <c r="V460" i="1"/>
  <c r="V461" i="1"/>
  <c r="V462" i="1"/>
  <c r="V463" i="1"/>
  <c r="V464" i="1"/>
  <c r="V465" i="1"/>
  <c r="V466" i="1"/>
  <c r="V467" i="1"/>
  <c r="V468" i="1"/>
  <c r="V469" i="1"/>
  <c r="V470" i="1"/>
  <c r="V471" i="1"/>
  <c r="V472" i="1"/>
  <c r="V473" i="1"/>
  <c r="V474" i="1"/>
  <c r="V475" i="1"/>
  <c r="V476" i="1"/>
  <c r="V477" i="1"/>
  <c r="V478" i="1"/>
  <c r="V479" i="1"/>
  <c r="V480" i="1"/>
  <c r="V481" i="1"/>
  <c r="V482" i="1"/>
  <c r="V483" i="1"/>
  <c r="V484" i="1"/>
  <c r="V485" i="1"/>
  <c r="V486" i="1"/>
  <c r="V487" i="1"/>
  <c r="V488" i="1"/>
  <c r="V489" i="1"/>
  <c r="V490" i="1"/>
  <c r="V491" i="1"/>
  <c r="V492" i="1"/>
  <c r="V493" i="1"/>
  <c r="V494" i="1"/>
  <c r="V495" i="1"/>
  <c r="V496" i="1"/>
  <c r="V497" i="1"/>
  <c r="V498" i="1"/>
  <c r="V499" i="1"/>
  <c r="V500" i="1"/>
  <c r="V501" i="1"/>
  <c r="V502" i="1"/>
  <c r="V503" i="1"/>
  <c r="V504" i="1"/>
  <c r="V505" i="1"/>
  <c r="V506" i="1"/>
  <c r="V507" i="1"/>
  <c r="V508" i="1"/>
  <c r="V509" i="1"/>
  <c r="V510" i="1"/>
  <c r="V511" i="1"/>
  <c r="V512" i="1"/>
  <c r="V513" i="1"/>
  <c r="V514" i="1"/>
  <c r="V515" i="1"/>
  <c r="V516" i="1"/>
  <c r="V517" i="1"/>
  <c r="V518" i="1"/>
  <c r="V519" i="1"/>
  <c r="V520" i="1"/>
  <c r="V521" i="1"/>
  <c r="V522" i="1"/>
  <c r="V523" i="1"/>
  <c r="V524" i="1"/>
  <c r="V525" i="1"/>
  <c r="V526" i="1"/>
  <c r="V527" i="1"/>
  <c r="V528" i="1"/>
  <c r="V529" i="1"/>
  <c r="V530" i="1"/>
  <c r="V531" i="1"/>
  <c r="V532" i="1"/>
  <c r="V533" i="1"/>
  <c r="V534" i="1"/>
  <c r="V535" i="1"/>
  <c r="V536" i="1"/>
  <c r="V537" i="1"/>
  <c r="V538" i="1"/>
  <c r="V539" i="1"/>
  <c r="V540" i="1"/>
  <c r="V541" i="1"/>
  <c r="V542" i="1"/>
  <c r="V543" i="1"/>
  <c r="V544" i="1"/>
  <c r="V545" i="1"/>
  <c r="V546" i="1"/>
  <c r="V547" i="1"/>
  <c r="V548" i="1"/>
  <c r="V549" i="1"/>
  <c r="V550" i="1"/>
  <c r="V551" i="1"/>
  <c r="V552" i="1"/>
  <c r="V553" i="1"/>
  <c r="V554" i="1"/>
  <c r="V555" i="1"/>
  <c r="V556" i="1"/>
  <c r="V557" i="1"/>
  <c r="V558" i="1"/>
  <c r="V559" i="1"/>
  <c r="V560" i="1"/>
  <c r="V561" i="1"/>
  <c r="V562" i="1"/>
  <c r="V563" i="1"/>
  <c r="V564" i="1"/>
  <c r="V565" i="1"/>
  <c r="V566" i="1"/>
  <c r="V567" i="1"/>
  <c r="V568" i="1"/>
  <c r="V569" i="1"/>
  <c r="V570" i="1"/>
  <c r="V571" i="1"/>
  <c r="V572" i="1"/>
  <c r="V573" i="1"/>
  <c r="V574" i="1"/>
  <c r="V575" i="1"/>
  <c r="V576" i="1"/>
  <c r="V577" i="1"/>
  <c r="V578" i="1"/>
  <c r="V579" i="1"/>
  <c r="V580" i="1"/>
  <c r="V581" i="1"/>
  <c r="V582" i="1"/>
  <c r="V583" i="1"/>
  <c r="V584" i="1"/>
  <c r="V585" i="1"/>
  <c r="V586" i="1"/>
  <c r="V587" i="1"/>
  <c r="V588" i="1"/>
  <c r="V589" i="1"/>
  <c r="V590" i="1"/>
  <c r="V591" i="1"/>
  <c r="V592" i="1"/>
  <c r="V593" i="1"/>
  <c r="V594" i="1"/>
  <c r="V595" i="1"/>
  <c r="V596" i="1"/>
  <c r="V597" i="1"/>
  <c r="V598" i="1"/>
  <c r="V599" i="1"/>
  <c r="V600" i="1"/>
  <c r="V601" i="1"/>
  <c r="V602" i="1"/>
  <c r="V603" i="1"/>
  <c r="V604" i="1"/>
  <c r="V605" i="1"/>
  <c r="V606" i="1"/>
  <c r="V607" i="1"/>
  <c r="V608" i="1"/>
  <c r="V609" i="1"/>
  <c r="V610" i="1"/>
  <c r="V611" i="1"/>
  <c r="V612" i="1"/>
  <c r="V613" i="1"/>
  <c r="V614" i="1"/>
  <c r="V615" i="1"/>
  <c r="V616" i="1"/>
  <c r="V617" i="1"/>
  <c r="V618" i="1"/>
  <c r="V619" i="1"/>
  <c r="V620" i="1"/>
  <c r="V621" i="1"/>
  <c r="V622" i="1"/>
  <c r="V623" i="1"/>
  <c r="V624" i="1"/>
  <c r="V625" i="1"/>
  <c r="V626" i="1"/>
  <c r="V627" i="1"/>
  <c r="V628" i="1"/>
  <c r="V629" i="1"/>
  <c r="V630" i="1"/>
  <c r="V631" i="1"/>
  <c r="V632" i="1"/>
  <c r="V633" i="1"/>
  <c r="V634" i="1"/>
  <c r="V635" i="1"/>
  <c r="V636" i="1"/>
  <c r="V637" i="1"/>
  <c r="V638" i="1"/>
  <c r="V639" i="1"/>
  <c r="V640" i="1"/>
  <c r="V641" i="1"/>
  <c r="V642" i="1"/>
  <c r="V643" i="1"/>
  <c r="V644" i="1"/>
  <c r="V645" i="1"/>
  <c r="V646" i="1"/>
  <c r="V647" i="1"/>
  <c r="V648" i="1"/>
  <c r="V649" i="1"/>
  <c r="V650" i="1"/>
  <c r="V651" i="1"/>
  <c r="V652" i="1"/>
  <c r="V653" i="1"/>
  <c r="V654" i="1"/>
  <c r="V655" i="1"/>
  <c r="V656" i="1"/>
  <c r="V657" i="1"/>
  <c r="V658" i="1"/>
  <c r="V659" i="1"/>
  <c r="V660" i="1"/>
  <c r="V661" i="1"/>
  <c r="V662" i="1"/>
  <c r="V663" i="1"/>
  <c r="V664" i="1"/>
  <c r="V665" i="1"/>
  <c r="V666" i="1"/>
  <c r="V667" i="1"/>
  <c r="V668" i="1"/>
  <c r="V669" i="1"/>
  <c r="V670" i="1"/>
  <c r="V671" i="1"/>
  <c r="V672" i="1"/>
  <c r="V673" i="1"/>
  <c r="V674" i="1"/>
  <c r="V675" i="1"/>
  <c r="V676" i="1"/>
  <c r="V677" i="1"/>
  <c r="V678" i="1"/>
  <c r="V679" i="1"/>
  <c r="V680" i="1"/>
  <c r="V681" i="1"/>
  <c r="V682" i="1"/>
  <c r="V683" i="1"/>
  <c r="V684" i="1"/>
  <c r="V685" i="1"/>
  <c r="V686" i="1"/>
  <c r="V687" i="1"/>
  <c r="V688" i="1"/>
  <c r="V689" i="1"/>
  <c r="V690" i="1"/>
  <c r="V691" i="1"/>
  <c r="V692" i="1"/>
  <c r="V693" i="1"/>
  <c r="V694" i="1"/>
  <c r="V695" i="1"/>
  <c r="V696" i="1"/>
  <c r="V697" i="1"/>
  <c r="V698" i="1"/>
  <c r="V699" i="1"/>
  <c r="V700" i="1"/>
  <c r="V5" i="1"/>
  <c r="A335" i="9" l="1"/>
  <c r="A334" i="9"/>
  <c r="A333" i="9"/>
  <c r="A332" i="9"/>
  <c r="R41" i="11" l="1"/>
  <c r="T41" i="11" s="1"/>
  <c r="T44" i="11"/>
  <c r="T46" i="11"/>
  <c r="T48" i="11"/>
  <c r="T50" i="11"/>
  <c r="T52" i="11"/>
  <c r="T54" i="11"/>
  <c r="T56" i="11"/>
  <c r="T58" i="11"/>
  <c r="T60" i="11"/>
  <c r="T62" i="11"/>
  <c r="T64" i="11"/>
  <c r="T66" i="11"/>
  <c r="T68" i="11"/>
  <c r="T70" i="11"/>
  <c r="T72" i="11"/>
  <c r="T74" i="11"/>
  <c r="T76" i="11"/>
  <c r="T78" i="11"/>
  <c r="T80" i="11"/>
  <c r="T43" i="11"/>
  <c r="T45" i="11"/>
  <c r="T47" i="11"/>
  <c r="T49" i="11"/>
  <c r="T51" i="11"/>
  <c r="T53" i="11"/>
  <c r="T55" i="11"/>
  <c r="T57" i="11"/>
  <c r="T59" i="11"/>
  <c r="T61" i="11"/>
  <c r="T63" i="11"/>
  <c r="T65" i="11"/>
  <c r="T67" i="11"/>
  <c r="T69" i="11"/>
  <c r="T71" i="11"/>
  <c r="T73" i="11"/>
  <c r="T75" i="11"/>
  <c r="T77" i="11"/>
  <c r="T79" i="11"/>
  <c r="T81" i="11"/>
  <c r="T82" i="11"/>
  <c r="P3" i="11"/>
  <c r="P9" i="11"/>
  <c r="R5" i="11"/>
  <c r="T5" i="11" s="1"/>
  <c r="R13" i="11"/>
  <c r="T13" i="11" s="1"/>
  <c r="R21" i="11"/>
  <c r="T21" i="11" s="1"/>
  <c r="P6" i="11"/>
  <c r="P10" i="11"/>
  <c r="P14" i="11"/>
  <c r="R6" i="11"/>
  <c r="T6" i="11" s="1"/>
  <c r="R10" i="11"/>
  <c r="T10" i="11" s="1"/>
  <c r="R14" i="11"/>
  <c r="T14" i="11" s="1"/>
  <c r="R18" i="11"/>
  <c r="T18" i="11" s="1"/>
  <c r="R22" i="11"/>
  <c r="T22" i="11" s="1"/>
  <c r="R26" i="11"/>
  <c r="T26" i="11" s="1"/>
  <c r="R30" i="11"/>
  <c r="T30" i="11" s="1"/>
  <c r="P5" i="11"/>
  <c r="R3" i="11"/>
  <c r="T3" i="11" s="1"/>
  <c r="R11" i="11"/>
  <c r="T11" i="11" s="1"/>
  <c r="R19" i="11"/>
  <c r="T19" i="11" s="1"/>
  <c r="R25" i="11"/>
  <c r="T25" i="11" s="1"/>
  <c r="R29" i="11"/>
  <c r="T29" i="11" s="1"/>
  <c r="R33" i="11"/>
  <c r="T33" i="11" s="1"/>
  <c r="V5" i="11"/>
  <c r="W5" i="11" s="1"/>
  <c r="V7" i="11"/>
  <c r="W7" i="11" s="1"/>
  <c r="V8" i="11"/>
  <c r="W8" i="11" s="1"/>
  <c r="V4" i="11"/>
  <c r="W4" i="11" s="1"/>
  <c r="R37" i="11"/>
  <c r="T37" i="11" s="1"/>
  <c r="R34" i="11"/>
  <c r="T34" i="11" s="1"/>
  <c r="R38" i="11"/>
  <c r="T38" i="11" s="1"/>
  <c r="R42" i="11"/>
  <c r="T42" i="11" s="1"/>
  <c r="P7" i="11"/>
  <c r="P13" i="11"/>
  <c r="R9" i="11"/>
  <c r="T9" i="11" s="1"/>
  <c r="R17" i="11"/>
  <c r="T17" i="11" s="1"/>
  <c r="P4" i="11"/>
  <c r="P8" i="11"/>
  <c r="P12" i="11"/>
  <c r="R4" i="11"/>
  <c r="T4" i="11" s="1"/>
  <c r="R8" i="11"/>
  <c r="T8" i="11" s="1"/>
  <c r="R12" i="11"/>
  <c r="T12" i="11" s="1"/>
  <c r="R16" i="11"/>
  <c r="T16" i="11" s="1"/>
  <c r="R20" i="11"/>
  <c r="T20" i="11" s="1"/>
  <c r="R24" i="11"/>
  <c r="T24" i="11" s="1"/>
  <c r="R28" i="11"/>
  <c r="T28" i="11" s="1"/>
  <c r="R32" i="11"/>
  <c r="T32" i="11" s="1"/>
  <c r="P11" i="11"/>
  <c r="R7" i="11"/>
  <c r="T7" i="11" s="1"/>
  <c r="R15" i="11"/>
  <c r="T15" i="11" s="1"/>
  <c r="R23" i="11"/>
  <c r="T23" i="11" s="1"/>
  <c r="R27" i="11"/>
  <c r="T27" i="11" s="1"/>
  <c r="R31" i="11"/>
  <c r="T31" i="11" s="1"/>
  <c r="V3" i="11"/>
  <c r="W3" i="11" s="1"/>
  <c r="V9" i="11"/>
  <c r="W9" i="11" s="1"/>
  <c r="V10" i="11"/>
  <c r="W10" i="11" s="1"/>
  <c r="V6" i="11"/>
  <c r="W6" i="11" s="1"/>
  <c r="R35" i="11"/>
  <c r="T35" i="11" s="1"/>
  <c r="R39" i="11"/>
  <c r="T39" i="11" s="1"/>
  <c r="R36" i="11"/>
  <c r="T36" i="11" s="1"/>
  <c r="R40" i="11"/>
  <c r="T40" i="11" s="1"/>
  <c r="P15" i="1"/>
  <c r="Q15" i="1" s="1"/>
  <c r="R15" i="1" s="1"/>
  <c r="P16" i="1"/>
  <c r="P17" i="1"/>
  <c r="Q17" i="1" s="1"/>
  <c r="R17" i="1" s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Q55" i="1" s="1"/>
  <c r="S55" i="1" s="1"/>
  <c r="P56" i="1"/>
  <c r="P57" i="1"/>
  <c r="Q57" i="1" s="1"/>
  <c r="S57" i="1" s="1"/>
  <c r="P58" i="1"/>
  <c r="P59" i="1"/>
  <c r="Q59" i="1" s="1"/>
  <c r="S59" i="1" s="1"/>
  <c r="P60" i="1"/>
  <c r="P61" i="1"/>
  <c r="Q61" i="1" s="1"/>
  <c r="S61" i="1" s="1"/>
  <c r="P62" i="1"/>
  <c r="P63" i="1"/>
  <c r="Q63" i="1" s="1"/>
  <c r="S63" i="1" s="1"/>
  <c r="P64" i="1"/>
  <c r="P65" i="1"/>
  <c r="Q65" i="1" s="1"/>
  <c r="S65" i="1" s="1"/>
  <c r="P66" i="1"/>
  <c r="Q66" i="1" s="1"/>
  <c r="R66" i="1" s="1"/>
  <c r="P67" i="1"/>
  <c r="Q67" i="1" s="1"/>
  <c r="S67" i="1" s="1"/>
  <c r="P68" i="1"/>
  <c r="P69" i="1"/>
  <c r="Q69" i="1" s="1"/>
  <c r="S69" i="1" s="1"/>
  <c r="P70" i="1"/>
  <c r="Q70" i="1" s="1"/>
  <c r="R70" i="1" s="1"/>
  <c r="P71" i="1"/>
  <c r="Q71" i="1" s="1"/>
  <c r="S71" i="1" s="1"/>
  <c r="P72" i="1"/>
  <c r="Q72" i="1" s="1"/>
  <c r="S72" i="1" s="1"/>
  <c r="P73" i="1"/>
  <c r="Q73" i="1" s="1"/>
  <c r="S73" i="1" s="1"/>
  <c r="P74" i="1"/>
  <c r="Q74" i="1" s="1"/>
  <c r="R74" i="1" s="1"/>
  <c r="P75" i="1"/>
  <c r="Q75" i="1" s="1"/>
  <c r="S75" i="1" s="1"/>
  <c r="P76" i="1"/>
  <c r="Q76" i="1" s="1"/>
  <c r="S76" i="1" s="1"/>
  <c r="P77" i="1"/>
  <c r="Q77" i="1" s="1"/>
  <c r="S77" i="1" s="1"/>
  <c r="P14" i="1"/>
  <c r="Q14" i="1" s="1"/>
  <c r="R14" i="1" s="1"/>
  <c r="Q18" i="1"/>
  <c r="S18" i="1" s="1"/>
  <c r="Q16" i="1"/>
  <c r="S16" i="1" s="1"/>
  <c r="Q19" i="1"/>
  <c r="S19" i="1" s="1"/>
  <c r="Q20" i="1"/>
  <c r="R20" i="1" s="1"/>
  <c r="Q21" i="1"/>
  <c r="S21" i="1" s="1"/>
  <c r="Q22" i="1"/>
  <c r="R22" i="1" s="1"/>
  <c r="Q23" i="1"/>
  <c r="S23" i="1" s="1"/>
  <c r="Q24" i="1"/>
  <c r="R24" i="1" s="1"/>
  <c r="Q25" i="1"/>
  <c r="S25" i="1" s="1"/>
  <c r="Q26" i="1"/>
  <c r="R26" i="1" s="1"/>
  <c r="Q27" i="1"/>
  <c r="S27" i="1" s="1"/>
  <c r="Q28" i="1"/>
  <c r="R28" i="1" s="1"/>
  <c r="Q29" i="1"/>
  <c r="S29" i="1" s="1"/>
  <c r="Q30" i="1"/>
  <c r="R30" i="1" s="1"/>
  <c r="Q31" i="1"/>
  <c r="S31" i="1" s="1"/>
  <c r="Q32" i="1"/>
  <c r="R32" i="1" s="1"/>
  <c r="Q33" i="1"/>
  <c r="S33" i="1" s="1"/>
  <c r="Q34" i="1"/>
  <c r="R34" i="1" s="1"/>
  <c r="Q35" i="1"/>
  <c r="S35" i="1" s="1"/>
  <c r="Q36" i="1"/>
  <c r="R36" i="1" s="1"/>
  <c r="Q37" i="1"/>
  <c r="S37" i="1" s="1"/>
  <c r="Q38" i="1"/>
  <c r="R38" i="1" s="1"/>
  <c r="Q39" i="1"/>
  <c r="S39" i="1" s="1"/>
  <c r="Q40" i="1"/>
  <c r="R40" i="1" s="1"/>
  <c r="Q41" i="1"/>
  <c r="S41" i="1" s="1"/>
  <c r="Q42" i="1"/>
  <c r="R42" i="1" s="1"/>
  <c r="Q43" i="1"/>
  <c r="S43" i="1" s="1"/>
  <c r="Q44" i="1"/>
  <c r="R44" i="1" s="1"/>
  <c r="Q45" i="1"/>
  <c r="S45" i="1" s="1"/>
  <c r="Q46" i="1"/>
  <c r="R46" i="1" s="1"/>
  <c r="Q47" i="1"/>
  <c r="S47" i="1" s="1"/>
  <c r="Q48" i="1"/>
  <c r="R48" i="1" s="1"/>
  <c r="Q49" i="1"/>
  <c r="S49" i="1" s="1"/>
  <c r="Q50" i="1"/>
  <c r="R50" i="1" s="1"/>
  <c r="Q51" i="1"/>
  <c r="S51" i="1" s="1"/>
  <c r="Q52" i="1"/>
  <c r="R52" i="1" s="1"/>
  <c r="Q53" i="1"/>
  <c r="S53" i="1" s="1"/>
  <c r="Q54" i="1"/>
  <c r="R54" i="1" s="1"/>
  <c r="Q56" i="1"/>
  <c r="R56" i="1" s="1"/>
  <c r="Q58" i="1"/>
  <c r="R58" i="1" s="1"/>
  <c r="Q60" i="1"/>
  <c r="S60" i="1" s="1"/>
  <c r="Q62" i="1"/>
  <c r="R62" i="1" s="1"/>
  <c r="Q64" i="1"/>
  <c r="S64" i="1" s="1"/>
  <c r="Q68" i="1"/>
  <c r="S68" i="1" s="1"/>
  <c r="W1" i="11" l="1"/>
  <c r="P1" i="11"/>
  <c r="T1" i="11"/>
  <c r="O1" i="11" s="1"/>
  <c r="D1" i="11" s="1"/>
  <c r="M7" i="9" s="1"/>
  <c r="C10" i="9" s="1"/>
  <c r="R77" i="1"/>
  <c r="T77" i="1" s="1"/>
  <c r="R75" i="1"/>
  <c r="T75" i="1" s="1"/>
  <c r="R73" i="1"/>
  <c r="T73" i="1" s="1"/>
  <c r="R71" i="1"/>
  <c r="T71" i="1" s="1"/>
  <c r="R69" i="1"/>
  <c r="T69" i="1" s="1"/>
  <c r="R67" i="1"/>
  <c r="T67" i="1" s="1"/>
  <c r="R65" i="1"/>
  <c r="T65" i="1" s="1"/>
  <c r="R63" i="1"/>
  <c r="T63" i="1" s="1"/>
  <c r="R61" i="1"/>
  <c r="T61" i="1" s="1"/>
  <c r="R59" i="1"/>
  <c r="T59" i="1" s="1"/>
  <c r="R55" i="1"/>
  <c r="T55" i="1" s="1"/>
  <c r="R51" i="1"/>
  <c r="T51" i="1" s="1"/>
  <c r="R47" i="1"/>
  <c r="T47" i="1" s="1"/>
  <c r="R43" i="1"/>
  <c r="T43" i="1" s="1"/>
  <c r="R39" i="1"/>
  <c r="T39" i="1" s="1"/>
  <c r="R35" i="1"/>
  <c r="T35" i="1" s="1"/>
  <c r="R31" i="1"/>
  <c r="T31" i="1" s="1"/>
  <c r="R27" i="1"/>
  <c r="T27" i="1" s="1"/>
  <c r="R23" i="1"/>
  <c r="T23" i="1" s="1"/>
  <c r="R19" i="1"/>
  <c r="T19" i="1" s="1"/>
  <c r="S14" i="1"/>
  <c r="T14" i="1" s="1"/>
  <c r="S74" i="1"/>
  <c r="T74" i="1" s="1"/>
  <c r="S70" i="1"/>
  <c r="T70" i="1" s="1"/>
  <c r="S66" i="1"/>
  <c r="T66" i="1" s="1"/>
  <c r="S62" i="1"/>
  <c r="T62" i="1" s="1"/>
  <c r="S58" i="1"/>
  <c r="T58" i="1" s="1"/>
  <c r="S54" i="1"/>
  <c r="T54" i="1" s="1"/>
  <c r="S50" i="1"/>
  <c r="T50" i="1" s="1"/>
  <c r="S46" i="1"/>
  <c r="T46" i="1" s="1"/>
  <c r="S42" i="1"/>
  <c r="T42" i="1" s="1"/>
  <c r="S38" i="1"/>
  <c r="T38" i="1" s="1"/>
  <c r="S34" i="1"/>
  <c r="T34" i="1" s="1"/>
  <c r="S30" i="1"/>
  <c r="T30" i="1" s="1"/>
  <c r="S26" i="1"/>
  <c r="T26" i="1" s="1"/>
  <c r="S22" i="1"/>
  <c r="T22" i="1" s="1"/>
  <c r="S17" i="1"/>
  <c r="T17" i="1" s="1"/>
  <c r="R76" i="1"/>
  <c r="T76" i="1" s="1"/>
  <c r="R72" i="1"/>
  <c r="T72" i="1" s="1"/>
  <c r="R68" i="1"/>
  <c r="T68" i="1" s="1"/>
  <c r="R64" i="1"/>
  <c r="T64" i="1" s="1"/>
  <c r="R60" i="1"/>
  <c r="T60" i="1" s="1"/>
  <c r="R57" i="1"/>
  <c r="T57" i="1" s="1"/>
  <c r="R53" i="1"/>
  <c r="T53" i="1" s="1"/>
  <c r="R49" i="1"/>
  <c r="T49" i="1" s="1"/>
  <c r="R45" i="1"/>
  <c r="T45" i="1" s="1"/>
  <c r="R41" i="1"/>
  <c r="T41" i="1" s="1"/>
  <c r="R37" i="1"/>
  <c r="T37" i="1" s="1"/>
  <c r="R33" i="1"/>
  <c r="T33" i="1" s="1"/>
  <c r="R29" i="1"/>
  <c r="T29" i="1" s="1"/>
  <c r="R25" i="1"/>
  <c r="T25" i="1" s="1"/>
  <c r="R21" i="1"/>
  <c r="T21" i="1" s="1"/>
  <c r="R16" i="1"/>
  <c r="T16" i="1" s="1"/>
  <c r="S56" i="1"/>
  <c r="T56" i="1" s="1"/>
  <c r="S52" i="1"/>
  <c r="T52" i="1" s="1"/>
  <c r="S48" i="1"/>
  <c r="T48" i="1" s="1"/>
  <c r="S44" i="1"/>
  <c r="T44" i="1" s="1"/>
  <c r="S40" i="1"/>
  <c r="T40" i="1" s="1"/>
  <c r="S36" i="1"/>
  <c r="T36" i="1" s="1"/>
  <c r="S32" i="1"/>
  <c r="T32" i="1" s="1"/>
  <c r="S28" i="1"/>
  <c r="T28" i="1" s="1"/>
  <c r="S24" i="1"/>
  <c r="T24" i="1" s="1"/>
  <c r="S20" i="1"/>
  <c r="T20" i="1" s="1"/>
  <c r="S15" i="1"/>
  <c r="T15" i="1" s="1"/>
  <c r="R18" i="1"/>
  <c r="T18" i="1" s="1"/>
  <c r="F501" i="1"/>
  <c r="G501" i="1" s="1"/>
  <c r="K501" i="1"/>
  <c r="F502" i="1"/>
  <c r="K502" i="1"/>
  <c r="F503" i="1"/>
  <c r="H503" i="1" s="1"/>
  <c r="K503" i="1"/>
  <c r="F504" i="1"/>
  <c r="H504" i="1" s="1"/>
  <c r="K504" i="1"/>
  <c r="F505" i="1"/>
  <c r="H505" i="1" s="1"/>
  <c r="K505" i="1"/>
  <c r="F506" i="1"/>
  <c r="H506" i="1" s="1"/>
  <c r="K506" i="1"/>
  <c r="F507" i="1"/>
  <c r="H507" i="1" s="1"/>
  <c r="K507" i="1"/>
  <c r="F508" i="1"/>
  <c r="H508" i="1" s="1"/>
  <c r="K508" i="1"/>
  <c r="F509" i="1"/>
  <c r="H509" i="1" s="1"/>
  <c r="K509" i="1"/>
  <c r="F510" i="1"/>
  <c r="H510" i="1" s="1"/>
  <c r="K510" i="1"/>
  <c r="F511" i="1"/>
  <c r="H511" i="1" s="1"/>
  <c r="K511" i="1"/>
  <c r="F512" i="1"/>
  <c r="H512" i="1" s="1"/>
  <c r="K512" i="1"/>
  <c r="F513" i="1"/>
  <c r="H513" i="1" s="1"/>
  <c r="K513" i="1"/>
  <c r="F514" i="1"/>
  <c r="H514" i="1" s="1"/>
  <c r="K514" i="1"/>
  <c r="F515" i="1"/>
  <c r="H515" i="1" s="1"/>
  <c r="K515" i="1"/>
  <c r="F516" i="1"/>
  <c r="H516" i="1" s="1"/>
  <c r="K516" i="1"/>
  <c r="F517" i="1"/>
  <c r="H517" i="1" s="1"/>
  <c r="K517" i="1"/>
  <c r="F518" i="1"/>
  <c r="H518" i="1" s="1"/>
  <c r="K518" i="1"/>
  <c r="F519" i="1"/>
  <c r="H519" i="1" s="1"/>
  <c r="K519" i="1"/>
  <c r="F520" i="1"/>
  <c r="H520" i="1" s="1"/>
  <c r="K520" i="1"/>
  <c r="F521" i="1"/>
  <c r="H521" i="1" s="1"/>
  <c r="K521" i="1"/>
  <c r="F522" i="1"/>
  <c r="H522" i="1" s="1"/>
  <c r="K522" i="1"/>
  <c r="F523" i="1"/>
  <c r="H523" i="1" s="1"/>
  <c r="K523" i="1"/>
  <c r="F524" i="1"/>
  <c r="H524" i="1" s="1"/>
  <c r="K524" i="1"/>
  <c r="F525" i="1"/>
  <c r="H525" i="1" s="1"/>
  <c r="K525" i="1"/>
  <c r="F526" i="1"/>
  <c r="H526" i="1" s="1"/>
  <c r="K526" i="1"/>
  <c r="F527" i="1"/>
  <c r="H527" i="1" s="1"/>
  <c r="K527" i="1"/>
  <c r="F528" i="1"/>
  <c r="H528" i="1" s="1"/>
  <c r="K528" i="1"/>
  <c r="F529" i="1"/>
  <c r="G529" i="1" s="1"/>
  <c r="K529" i="1"/>
  <c r="F530" i="1"/>
  <c r="G530" i="1" s="1"/>
  <c r="K530" i="1"/>
  <c r="F531" i="1"/>
  <c r="G531" i="1" s="1"/>
  <c r="K531" i="1"/>
  <c r="F532" i="1"/>
  <c r="G532" i="1" s="1"/>
  <c r="K532" i="1"/>
  <c r="F533" i="1"/>
  <c r="H533" i="1" s="1"/>
  <c r="K533" i="1"/>
  <c r="F534" i="1"/>
  <c r="H534" i="1" s="1"/>
  <c r="K534" i="1"/>
  <c r="F535" i="1"/>
  <c r="H535" i="1" s="1"/>
  <c r="K535" i="1"/>
  <c r="F536" i="1"/>
  <c r="H536" i="1" s="1"/>
  <c r="K536" i="1"/>
  <c r="F537" i="1"/>
  <c r="H537" i="1" s="1"/>
  <c r="K537" i="1"/>
  <c r="F538" i="1"/>
  <c r="H538" i="1" s="1"/>
  <c r="K538" i="1"/>
  <c r="F539" i="1"/>
  <c r="H539" i="1" s="1"/>
  <c r="K539" i="1"/>
  <c r="F540" i="1"/>
  <c r="H540" i="1" s="1"/>
  <c r="K540" i="1"/>
  <c r="F541" i="1"/>
  <c r="H541" i="1" s="1"/>
  <c r="K541" i="1"/>
  <c r="F542" i="1"/>
  <c r="H542" i="1" s="1"/>
  <c r="K542" i="1"/>
  <c r="F543" i="1"/>
  <c r="H543" i="1" s="1"/>
  <c r="K543" i="1"/>
  <c r="F544" i="1"/>
  <c r="H544" i="1" s="1"/>
  <c r="K544" i="1"/>
  <c r="F545" i="1"/>
  <c r="H545" i="1" s="1"/>
  <c r="K545" i="1"/>
  <c r="F546" i="1"/>
  <c r="H546" i="1" s="1"/>
  <c r="K546" i="1"/>
  <c r="F547" i="1"/>
  <c r="H547" i="1" s="1"/>
  <c r="K547" i="1"/>
  <c r="F548" i="1"/>
  <c r="H548" i="1" s="1"/>
  <c r="K548" i="1"/>
  <c r="F549" i="1"/>
  <c r="H549" i="1" s="1"/>
  <c r="K549" i="1"/>
  <c r="F550" i="1"/>
  <c r="H550" i="1" s="1"/>
  <c r="K550" i="1"/>
  <c r="F551" i="1"/>
  <c r="H551" i="1" s="1"/>
  <c r="K551" i="1"/>
  <c r="F552" i="1"/>
  <c r="H552" i="1" s="1"/>
  <c r="K552" i="1"/>
  <c r="F553" i="1"/>
  <c r="H553" i="1" s="1"/>
  <c r="K553" i="1"/>
  <c r="F554" i="1"/>
  <c r="H554" i="1" s="1"/>
  <c r="K554" i="1"/>
  <c r="F555" i="1"/>
  <c r="K555" i="1"/>
  <c r="F556" i="1"/>
  <c r="H556" i="1" s="1"/>
  <c r="K556" i="1"/>
  <c r="F557" i="1"/>
  <c r="K557" i="1"/>
  <c r="F558" i="1"/>
  <c r="H558" i="1" s="1"/>
  <c r="K558" i="1"/>
  <c r="F559" i="1"/>
  <c r="K559" i="1"/>
  <c r="F560" i="1"/>
  <c r="H560" i="1" s="1"/>
  <c r="K560" i="1"/>
  <c r="F561" i="1"/>
  <c r="K561" i="1"/>
  <c r="F562" i="1"/>
  <c r="H562" i="1" s="1"/>
  <c r="K562" i="1"/>
  <c r="F563" i="1"/>
  <c r="K563" i="1"/>
  <c r="F564" i="1"/>
  <c r="H564" i="1" s="1"/>
  <c r="K564" i="1"/>
  <c r="F565" i="1"/>
  <c r="K565" i="1"/>
  <c r="F566" i="1"/>
  <c r="H566" i="1" s="1"/>
  <c r="K566" i="1"/>
  <c r="F567" i="1"/>
  <c r="K567" i="1"/>
  <c r="F568" i="1"/>
  <c r="H568" i="1" s="1"/>
  <c r="K568" i="1"/>
  <c r="F569" i="1"/>
  <c r="K569" i="1"/>
  <c r="F570" i="1"/>
  <c r="H570" i="1" s="1"/>
  <c r="K570" i="1"/>
  <c r="F571" i="1"/>
  <c r="K571" i="1"/>
  <c r="F572" i="1"/>
  <c r="H572" i="1" s="1"/>
  <c r="K572" i="1"/>
  <c r="F573" i="1"/>
  <c r="K573" i="1"/>
  <c r="F574" i="1"/>
  <c r="H574" i="1" s="1"/>
  <c r="K574" i="1"/>
  <c r="F575" i="1"/>
  <c r="K575" i="1"/>
  <c r="F576" i="1"/>
  <c r="H576" i="1" s="1"/>
  <c r="K576" i="1"/>
  <c r="F577" i="1"/>
  <c r="K577" i="1"/>
  <c r="F578" i="1"/>
  <c r="H578" i="1" s="1"/>
  <c r="K578" i="1"/>
  <c r="F579" i="1"/>
  <c r="K579" i="1"/>
  <c r="F580" i="1"/>
  <c r="H580" i="1" s="1"/>
  <c r="K580" i="1"/>
  <c r="F581" i="1"/>
  <c r="K581" i="1"/>
  <c r="F582" i="1"/>
  <c r="K582" i="1"/>
  <c r="F583" i="1"/>
  <c r="G583" i="1" s="1"/>
  <c r="K583" i="1"/>
  <c r="F584" i="1"/>
  <c r="G584" i="1" s="1"/>
  <c r="K584" i="1"/>
  <c r="F585" i="1"/>
  <c r="G585" i="1" s="1"/>
  <c r="K585" i="1"/>
  <c r="F586" i="1"/>
  <c r="K586" i="1"/>
  <c r="F587" i="1"/>
  <c r="G587" i="1" s="1"/>
  <c r="K587" i="1"/>
  <c r="F588" i="1"/>
  <c r="G588" i="1" s="1"/>
  <c r="K588" i="1"/>
  <c r="F589" i="1"/>
  <c r="H589" i="1" s="1"/>
  <c r="K589" i="1"/>
  <c r="F590" i="1"/>
  <c r="H590" i="1" s="1"/>
  <c r="K590" i="1"/>
  <c r="F591" i="1"/>
  <c r="H591" i="1" s="1"/>
  <c r="K591" i="1"/>
  <c r="F592" i="1"/>
  <c r="H592" i="1" s="1"/>
  <c r="K592" i="1"/>
  <c r="F593" i="1"/>
  <c r="H593" i="1" s="1"/>
  <c r="K593" i="1"/>
  <c r="F594" i="1"/>
  <c r="H594" i="1" s="1"/>
  <c r="K594" i="1"/>
  <c r="F595" i="1"/>
  <c r="H595" i="1" s="1"/>
  <c r="K595" i="1"/>
  <c r="F596" i="1"/>
  <c r="H596" i="1" s="1"/>
  <c r="K596" i="1"/>
  <c r="F597" i="1"/>
  <c r="H597" i="1" s="1"/>
  <c r="K597" i="1"/>
  <c r="F598" i="1"/>
  <c r="H598" i="1" s="1"/>
  <c r="K598" i="1"/>
  <c r="F599" i="1"/>
  <c r="H599" i="1" s="1"/>
  <c r="K599" i="1"/>
  <c r="F600" i="1"/>
  <c r="H600" i="1" s="1"/>
  <c r="K600" i="1"/>
  <c r="F601" i="1"/>
  <c r="H601" i="1" s="1"/>
  <c r="K601" i="1"/>
  <c r="F602" i="1"/>
  <c r="H602" i="1" s="1"/>
  <c r="K602" i="1"/>
  <c r="F603" i="1"/>
  <c r="H603" i="1" s="1"/>
  <c r="K603" i="1"/>
  <c r="F604" i="1"/>
  <c r="H604" i="1" s="1"/>
  <c r="K604" i="1"/>
  <c r="F605" i="1"/>
  <c r="H605" i="1" s="1"/>
  <c r="K605" i="1"/>
  <c r="F606" i="1"/>
  <c r="H606" i="1" s="1"/>
  <c r="K606" i="1"/>
  <c r="F607" i="1"/>
  <c r="H607" i="1" s="1"/>
  <c r="K607" i="1"/>
  <c r="F608" i="1"/>
  <c r="H608" i="1" s="1"/>
  <c r="K608" i="1"/>
  <c r="F609" i="1"/>
  <c r="H609" i="1" s="1"/>
  <c r="K609" i="1"/>
  <c r="F610" i="1"/>
  <c r="H610" i="1" s="1"/>
  <c r="K610" i="1"/>
  <c r="F611" i="1"/>
  <c r="H611" i="1" s="1"/>
  <c r="K611" i="1"/>
  <c r="F612" i="1"/>
  <c r="H612" i="1" s="1"/>
  <c r="K612" i="1"/>
  <c r="F613" i="1"/>
  <c r="H613" i="1" s="1"/>
  <c r="K613" i="1"/>
  <c r="F614" i="1"/>
  <c r="H614" i="1" s="1"/>
  <c r="K614" i="1"/>
  <c r="F615" i="1"/>
  <c r="H615" i="1" s="1"/>
  <c r="K615" i="1"/>
  <c r="F616" i="1"/>
  <c r="H616" i="1" s="1"/>
  <c r="K616" i="1"/>
  <c r="F617" i="1"/>
  <c r="H617" i="1" s="1"/>
  <c r="K617" i="1"/>
  <c r="F618" i="1"/>
  <c r="H618" i="1" s="1"/>
  <c r="K618" i="1"/>
  <c r="F619" i="1"/>
  <c r="H619" i="1" s="1"/>
  <c r="K619" i="1"/>
  <c r="F620" i="1"/>
  <c r="H620" i="1" s="1"/>
  <c r="K620" i="1"/>
  <c r="F621" i="1"/>
  <c r="H621" i="1" s="1"/>
  <c r="K621" i="1"/>
  <c r="F622" i="1"/>
  <c r="H622" i="1" s="1"/>
  <c r="K622" i="1"/>
  <c r="F623" i="1"/>
  <c r="H623" i="1" s="1"/>
  <c r="K623" i="1"/>
  <c r="F624" i="1"/>
  <c r="H624" i="1" s="1"/>
  <c r="K624" i="1"/>
  <c r="F625" i="1"/>
  <c r="H625" i="1" s="1"/>
  <c r="K625" i="1"/>
  <c r="F626" i="1"/>
  <c r="H626" i="1" s="1"/>
  <c r="K626" i="1"/>
  <c r="F627" i="1"/>
  <c r="H627" i="1" s="1"/>
  <c r="K627" i="1"/>
  <c r="F628" i="1"/>
  <c r="H628" i="1" s="1"/>
  <c r="K628" i="1"/>
  <c r="F629" i="1"/>
  <c r="H629" i="1" s="1"/>
  <c r="K629" i="1"/>
  <c r="F630" i="1"/>
  <c r="H630" i="1" s="1"/>
  <c r="K630" i="1"/>
  <c r="F631" i="1"/>
  <c r="H631" i="1" s="1"/>
  <c r="K631" i="1"/>
  <c r="F632" i="1"/>
  <c r="K632" i="1"/>
  <c r="F633" i="1"/>
  <c r="H633" i="1" s="1"/>
  <c r="K633" i="1"/>
  <c r="F634" i="1"/>
  <c r="H634" i="1" s="1"/>
  <c r="K634" i="1"/>
  <c r="F635" i="1"/>
  <c r="H635" i="1" s="1"/>
  <c r="K635" i="1"/>
  <c r="F636" i="1"/>
  <c r="H636" i="1" s="1"/>
  <c r="K636" i="1"/>
  <c r="F637" i="1"/>
  <c r="H637" i="1" s="1"/>
  <c r="K637" i="1"/>
  <c r="F638" i="1"/>
  <c r="H638" i="1" s="1"/>
  <c r="K638" i="1"/>
  <c r="F639" i="1"/>
  <c r="H639" i="1" s="1"/>
  <c r="K639" i="1"/>
  <c r="F640" i="1"/>
  <c r="H640" i="1" s="1"/>
  <c r="K640" i="1"/>
  <c r="F641" i="1"/>
  <c r="H641" i="1" s="1"/>
  <c r="K641" i="1"/>
  <c r="F642" i="1"/>
  <c r="H642" i="1" s="1"/>
  <c r="K642" i="1"/>
  <c r="F643" i="1"/>
  <c r="H643" i="1" s="1"/>
  <c r="K643" i="1"/>
  <c r="F644" i="1"/>
  <c r="H644" i="1" s="1"/>
  <c r="K644" i="1"/>
  <c r="F645" i="1"/>
  <c r="H645" i="1" s="1"/>
  <c r="K645" i="1"/>
  <c r="F646" i="1"/>
  <c r="H646" i="1" s="1"/>
  <c r="K646" i="1"/>
  <c r="F647" i="1"/>
  <c r="H647" i="1" s="1"/>
  <c r="K647" i="1"/>
  <c r="F648" i="1"/>
  <c r="H648" i="1" s="1"/>
  <c r="K648" i="1"/>
  <c r="F649" i="1"/>
  <c r="H649" i="1" s="1"/>
  <c r="K649" i="1"/>
  <c r="F650" i="1"/>
  <c r="H650" i="1" s="1"/>
  <c r="K650" i="1"/>
  <c r="F651" i="1"/>
  <c r="H651" i="1" s="1"/>
  <c r="K651" i="1"/>
  <c r="F652" i="1"/>
  <c r="H652" i="1" s="1"/>
  <c r="K652" i="1"/>
  <c r="F653" i="1"/>
  <c r="H653" i="1" s="1"/>
  <c r="K653" i="1"/>
  <c r="F654" i="1"/>
  <c r="H654" i="1" s="1"/>
  <c r="K654" i="1"/>
  <c r="F655" i="1"/>
  <c r="H655" i="1" s="1"/>
  <c r="K655" i="1"/>
  <c r="F656" i="1"/>
  <c r="K656" i="1"/>
  <c r="F657" i="1"/>
  <c r="H657" i="1" s="1"/>
  <c r="K657" i="1"/>
  <c r="F658" i="1"/>
  <c r="H658" i="1" s="1"/>
  <c r="K658" i="1"/>
  <c r="F659" i="1"/>
  <c r="H659" i="1" s="1"/>
  <c r="K659" i="1"/>
  <c r="F660" i="1"/>
  <c r="H660" i="1" s="1"/>
  <c r="K660" i="1"/>
  <c r="F661" i="1"/>
  <c r="H661" i="1" s="1"/>
  <c r="K661" i="1"/>
  <c r="F662" i="1"/>
  <c r="H662" i="1" s="1"/>
  <c r="K662" i="1"/>
  <c r="F663" i="1"/>
  <c r="H663" i="1" s="1"/>
  <c r="K663" i="1"/>
  <c r="F664" i="1"/>
  <c r="H664" i="1" s="1"/>
  <c r="K664" i="1"/>
  <c r="F665" i="1"/>
  <c r="H665" i="1" s="1"/>
  <c r="K665" i="1"/>
  <c r="F666" i="1"/>
  <c r="H666" i="1" s="1"/>
  <c r="K666" i="1"/>
  <c r="F667" i="1"/>
  <c r="H667" i="1" s="1"/>
  <c r="K667" i="1"/>
  <c r="F668" i="1"/>
  <c r="H668" i="1" s="1"/>
  <c r="K668" i="1"/>
  <c r="F669" i="1"/>
  <c r="H669" i="1" s="1"/>
  <c r="K669" i="1"/>
  <c r="F670" i="1"/>
  <c r="H670" i="1" s="1"/>
  <c r="K670" i="1"/>
  <c r="F671" i="1"/>
  <c r="H671" i="1" s="1"/>
  <c r="K671" i="1"/>
  <c r="F672" i="1"/>
  <c r="H672" i="1" s="1"/>
  <c r="K672" i="1"/>
  <c r="F673" i="1"/>
  <c r="H673" i="1" s="1"/>
  <c r="K673" i="1"/>
  <c r="F674" i="1"/>
  <c r="H674" i="1" s="1"/>
  <c r="K674" i="1"/>
  <c r="F675" i="1"/>
  <c r="H675" i="1" s="1"/>
  <c r="K675" i="1"/>
  <c r="F676" i="1"/>
  <c r="H676" i="1" s="1"/>
  <c r="K676" i="1"/>
  <c r="F677" i="1"/>
  <c r="H677" i="1" s="1"/>
  <c r="K677" i="1"/>
  <c r="F678" i="1"/>
  <c r="H678" i="1" s="1"/>
  <c r="K678" i="1"/>
  <c r="F679" i="1"/>
  <c r="H679" i="1" s="1"/>
  <c r="K679" i="1"/>
  <c r="F680" i="1"/>
  <c r="H680" i="1" s="1"/>
  <c r="K680" i="1"/>
  <c r="F681" i="1"/>
  <c r="H681" i="1" s="1"/>
  <c r="K681" i="1"/>
  <c r="F682" i="1"/>
  <c r="H682" i="1" s="1"/>
  <c r="K682" i="1"/>
  <c r="F683" i="1"/>
  <c r="H683" i="1" s="1"/>
  <c r="K683" i="1"/>
  <c r="F684" i="1"/>
  <c r="G684" i="1" s="1"/>
  <c r="K684" i="1"/>
  <c r="F685" i="1"/>
  <c r="G685" i="1" s="1"/>
  <c r="K685" i="1"/>
  <c r="F686" i="1"/>
  <c r="G686" i="1" s="1"/>
  <c r="K686" i="1"/>
  <c r="F687" i="1"/>
  <c r="H687" i="1" s="1"/>
  <c r="K687" i="1"/>
  <c r="F688" i="1"/>
  <c r="G688" i="1" s="1"/>
  <c r="K688" i="1"/>
  <c r="F689" i="1"/>
  <c r="H689" i="1" s="1"/>
  <c r="K689" i="1"/>
  <c r="F690" i="1"/>
  <c r="G690" i="1" s="1"/>
  <c r="K690" i="1"/>
  <c r="F691" i="1"/>
  <c r="H691" i="1" s="1"/>
  <c r="K691" i="1"/>
  <c r="F692" i="1"/>
  <c r="G692" i="1" s="1"/>
  <c r="K692" i="1"/>
  <c r="F693" i="1"/>
  <c r="H693" i="1" s="1"/>
  <c r="K693" i="1"/>
  <c r="F694" i="1"/>
  <c r="G694" i="1" s="1"/>
  <c r="K694" i="1"/>
  <c r="F695" i="1"/>
  <c r="H695" i="1" s="1"/>
  <c r="K695" i="1"/>
  <c r="F696" i="1"/>
  <c r="G696" i="1" s="1"/>
  <c r="K696" i="1"/>
  <c r="F697" i="1"/>
  <c r="H697" i="1" s="1"/>
  <c r="K697" i="1"/>
  <c r="F698" i="1"/>
  <c r="G698" i="1" s="1"/>
  <c r="K698" i="1"/>
  <c r="F699" i="1"/>
  <c r="H699" i="1" s="1"/>
  <c r="K699" i="1"/>
  <c r="F700" i="1"/>
  <c r="G700" i="1" s="1"/>
  <c r="K700" i="1"/>
  <c r="J330" i="9"/>
  <c r="J329" i="9"/>
  <c r="L329" i="9" s="1"/>
  <c r="J328" i="9"/>
  <c r="J327" i="9"/>
  <c r="K327" i="9" s="1"/>
  <c r="J326" i="9"/>
  <c r="J325" i="9"/>
  <c r="J324" i="9"/>
  <c r="L324" i="9" s="1"/>
  <c r="J323" i="9"/>
  <c r="J322" i="9"/>
  <c r="J321" i="9"/>
  <c r="J320" i="9"/>
  <c r="J319" i="9"/>
  <c r="L319" i="9" s="1"/>
  <c r="J318" i="9"/>
  <c r="J317" i="9"/>
  <c r="K317" i="9" s="1"/>
  <c r="J316" i="9"/>
  <c r="J315" i="9"/>
  <c r="J314" i="9"/>
  <c r="L314" i="9" s="1"/>
  <c r="J313" i="9"/>
  <c r="J312" i="9"/>
  <c r="J311" i="9"/>
  <c r="J310" i="9"/>
  <c r="J309" i="9"/>
  <c r="L309" i="9" s="1"/>
  <c r="J308" i="9"/>
  <c r="J307" i="9"/>
  <c r="J306" i="9"/>
  <c r="J305" i="9"/>
  <c r="J304" i="9"/>
  <c r="L304" i="9" s="1"/>
  <c r="J303" i="9"/>
  <c r="J302" i="9"/>
  <c r="K302" i="9" s="1"/>
  <c r="J301" i="9"/>
  <c r="J300" i="9"/>
  <c r="J299" i="9"/>
  <c r="L299" i="9" s="1"/>
  <c r="J298" i="9"/>
  <c r="J297" i="9"/>
  <c r="J296" i="9"/>
  <c r="J295" i="9"/>
  <c r="J294" i="9"/>
  <c r="L294" i="9" s="1"/>
  <c r="J293" i="9"/>
  <c r="J292" i="9"/>
  <c r="K292" i="9" s="1"/>
  <c r="J291" i="9"/>
  <c r="J290" i="9"/>
  <c r="J289" i="9"/>
  <c r="L289" i="9" s="1"/>
  <c r="J288" i="9"/>
  <c r="J287" i="9"/>
  <c r="J286" i="9"/>
  <c r="J285" i="9"/>
  <c r="J284" i="9"/>
  <c r="L284" i="9" s="1"/>
  <c r="J283" i="9"/>
  <c r="J282" i="9"/>
  <c r="K282" i="9" s="1"/>
  <c r="J281" i="9"/>
  <c r="J280" i="9"/>
  <c r="J279" i="9"/>
  <c r="L279" i="9" s="1"/>
  <c r="J278" i="9"/>
  <c r="J277" i="9"/>
  <c r="J276" i="9"/>
  <c r="J275" i="9"/>
  <c r="J274" i="9"/>
  <c r="L274" i="9" s="1"/>
  <c r="J273" i="9"/>
  <c r="J272" i="9"/>
  <c r="K272" i="9" s="1"/>
  <c r="J271" i="9"/>
  <c r="J270" i="9"/>
  <c r="J269" i="9"/>
  <c r="L269" i="9" s="1"/>
  <c r="J268" i="9"/>
  <c r="J267" i="9"/>
  <c r="J266" i="9"/>
  <c r="J265" i="9"/>
  <c r="J264" i="9"/>
  <c r="L264" i="9" s="1"/>
  <c r="J263" i="9"/>
  <c r="J262" i="9"/>
  <c r="K262" i="9" s="1"/>
  <c r="J261" i="9"/>
  <c r="J260" i="9"/>
  <c r="J259" i="9"/>
  <c r="L259" i="9" s="1"/>
  <c r="J258" i="9"/>
  <c r="J257" i="9"/>
  <c r="J256" i="9"/>
  <c r="J255" i="9"/>
  <c r="J254" i="9"/>
  <c r="L254" i="9" s="1"/>
  <c r="J253" i="9"/>
  <c r="J252" i="9"/>
  <c r="K252" i="9" s="1"/>
  <c r="J251" i="9"/>
  <c r="J250" i="9"/>
  <c r="J249" i="9"/>
  <c r="L249" i="9" s="1"/>
  <c r="J248" i="9"/>
  <c r="J247" i="9"/>
  <c r="J246" i="9"/>
  <c r="J245" i="9"/>
  <c r="J244" i="9"/>
  <c r="L244" i="9" s="1"/>
  <c r="J243" i="9"/>
  <c r="J242" i="9"/>
  <c r="K242" i="9" s="1"/>
  <c r="J241" i="9"/>
  <c r="J240" i="9"/>
  <c r="J239" i="9"/>
  <c r="L239" i="9" s="1"/>
  <c r="J238" i="9"/>
  <c r="J237" i="9"/>
  <c r="J236" i="9"/>
  <c r="J235" i="9"/>
  <c r="J234" i="9"/>
  <c r="L234" i="9" s="1"/>
  <c r="J233" i="9"/>
  <c r="J232" i="9"/>
  <c r="K232" i="9" s="1"/>
  <c r="J231" i="9"/>
  <c r="J230" i="9"/>
  <c r="J229" i="9"/>
  <c r="L229" i="9" s="1"/>
  <c r="J228" i="9"/>
  <c r="J227" i="9"/>
  <c r="J226" i="9"/>
  <c r="J225" i="9"/>
  <c r="J224" i="9"/>
  <c r="L224" i="9" s="1"/>
  <c r="J223" i="9"/>
  <c r="J222" i="9"/>
  <c r="K222" i="9" s="1"/>
  <c r="J221" i="9"/>
  <c r="J220" i="9"/>
  <c r="J219" i="9"/>
  <c r="L219" i="9" s="1"/>
  <c r="J218" i="9"/>
  <c r="J217" i="9"/>
  <c r="J216" i="9"/>
  <c r="J215" i="9"/>
  <c r="J214" i="9"/>
  <c r="L214" i="9" s="1"/>
  <c r="J213" i="9"/>
  <c r="J212" i="9"/>
  <c r="K212" i="9" s="1"/>
  <c r="J211" i="9"/>
  <c r="J210" i="9"/>
  <c r="J209" i="9"/>
  <c r="L209" i="9" s="1"/>
  <c r="J208" i="9"/>
  <c r="J207" i="9"/>
  <c r="J206" i="9"/>
  <c r="J205" i="9"/>
  <c r="J204" i="9"/>
  <c r="L204" i="9" s="1"/>
  <c r="J203" i="9"/>
  <c r="J202" i="9"/>
  <c r="K202" i="9" s="1"/>
  <c r="J201" i="9"/>
  <c r="J200" i="9"/>
  <c r="J199" i="9"/>
  <c r="L199" i="9" s="1"/>
  <c r="J198" i="9"/>
  <c r="J197" i="9"/>
  <c r="J196" i="9"/>
  <c r="J195" i="9"/>
  <c r="J194" i="9"/>
  <c r="L194" i="9" s="1"/>
  <c r="J193" i="9"/>
  <c r="J192" i="9"/>
  <c r="K192" i="9" s="1"/>
  <c r="J191" i="9"/>
  <c r="J190" i="9"/>
  <c r="J189" i="9"/>
  <c r="L189" i="9" s="1"/>
  <c r="J188" i="9"/>
  <c r="J187" i="9"/>
  <c r="K187" i="9" s="1"/>
  <c r="J186" i="9"/>
  <c r="J185" i="9"/>
  <c r="K185" i="9" s="1"/>
  <c r="J184" i="9"/>
  <c r="L184" i="9" s="1"/>
  <c r="J183" i="9"/>
  <c r="K183" i="9" s="1"/>
  <c r="J182" i="9"/>
  <c r="J181" i="9"/>
  <c r="J180" i="9"/>
  <c r="J179" i="9"/>
  <c r="L179" i="9" s="1"/>
  <c r="J178" i="9"/>
  <c r="J177" i="9"/>
  <c r="K177" i="9" s="1"/>
  <c r="J176" i="9"/>
  <c r="J175" i="9"/>
  <c r="K175" i="9" s="1"/>
  <c r="J174" i="9"/>
  <c r="L174" i="9" s="1"/>
  <c r="J173" i="9"/>
  <c r="K173" i="9" s="1"/>
  <c r="J172" i="9"/>
  <c r="J171" i="9"/>
  <c r="J170" i="9"/>
  <c r="J169" i="9"/>
  <c r="L169" i="9" s="1"/>
  <c r="J168" i="9"/>
  <c r="J167" i="9"/>
  <c r="K167" i="9" s="1"/>
  <c r="J166" i="9"/>
  <c r="J165" i="9"/>
  <c r="K165" i="9" s="1"/>
  <c r="J164" i="9"/>
  <c r="L164" i="9" s="1"/>
  <c r="J163" i="9"/>
  <c r="K163" i="9" s="1"/>
  <c r="J162" i="9"/>
  <c r="J161" i="9"/>
  <c r="J160" i="9"/>
  <c r="J159" i="9"/>
  <c r="L159" i="9" s="1"/>
  <c r="J158" i="9"/>
  <c r="J157" i="9"/>
  <c r="K157" i="9" s="1"/>
  <c r="J156" i="9"/>
  <c r="J155" i="9"/>
  <c r="K155" i="9" s="1"/>
  <c r="J154" i="9"/>
  <c r="L154" i="9" s="1"/>
  <c r="J153" i="9"/>
  <c r="K153" i="9" s="1"/>
  <c r="J152" i="9"/>
  <c r="J151" i="9"/>
  <c r="J150" i="9"/>
  <c r="J149" i="9"/>
  <c r="L149" i="9" s="1"/>
  <c r="J148" i="9"/>
  <c r="K148" i="9" s="1"/>
  <c r="J147" i="9"/>
  <c r="J146" i="9"/>
  <c r="J145" i="9"/>
  <c r="J144" i="9"/>
  <c r="L144" i="9" s="1"/>
  <c r="J143" i="9"/>
  <c r="J142" i="9"/>
  <c r="K142" i="9" s="1"/>
  <c r="J141" i="9"/>
  <c r="J140" i="9"/>
  <c r="K140" i="9" s="1"/>
  <c r="J139" i="9"/>
  <c r="L139" i="9" s="1"/>
  <c r="J138" i="9"/>
  <c r="K138" i="9" s="1"/>
  <c r="J137" i="9"/>
  <c r="J136" i="9"/>
  <c r="J135" i="9"/>
  <c r="J134" i="9"/>
  <c r="L134" i="9" s="1"/>
  <c r="J133" i="9"/>
  <c r="J132" i="9"/>
  <c r="K132" i="9" s="1"/>
  <c r="J131" i="9"/>
  <c r="J130" i="9"/>
  <c r="K130" i="9" s="1"/>
  <c r="J129" i="9"/>
  <c r="L129" i="9" s="1"/>
  <c r="J128" i="9"/>
  <c r="K128" i="9" s="1"/>
  <c r="J127" i="9"/>
  <c r="J126" i="9"/>
  <c r="J125" i="9"/>
  <c r="J124" i="9"/>
  <c r="L124" i="9" s="1"/>
  <c r="J123" i="9"/>
  <c r="J122" i="9"/>
  <c r="K122" i="9" s="1"/>
  <c r="J121" i="9"/>
  <c r="J120" i="9"/>
  <c r="K120" i="9" s="1"/>
  <c r="J119" i="9"/>
  <c r="L119" i="9" s="1"/>
  <c r="J118" i="9"/>
  <c r="K118" i="9" s="1"/>
  <c r="J117" i="9"/>
  <c r="J116" i="9"/>
  <c r="J115" i="9"/>
  <c r="J114" i="9"/>
  <c r="L114" i="9" s="1"/>
  <c r="J113" i="9"/>
  <c r="J112" i="9"/>
  <c r="K112" i="9" s="1"/>
  <c r="J111" i="9"/>
  <c r="J110" i="9"/>
  <c r="K110" i="9" s="1"/>
  <c r="J109" i="9"/>
  <c r="L109" i="9" s="1"/>
  <c r="J108" i="9"/>
  <c r="K108" i="9" s="1"/>
  <c r="J107" i="9"/>
  <c r="J106" i="9"/>
  <c r="J105" i="9"/>
  <c r="J104" i="9"/>
  <c r="L104" i="9" s="1"/>
  <c r="J103" i="9"/>
  <c r="K103" i="9" s="1"/>
  <c r="L103" i="9" s="1"/>
  <c r="J102" i="9"/>
  <c r="K102" i="9" s="1"/>
  <c r="J101" i="9"/>
  <c r="J100" i="9"/>
  <c r="J99" i="9"/>
  <c r="L99" i="9" s="1"/>
  <c r="J98" i="9"/>
  <c r="J97" i="9"/>
  <c r="K97" i="9" s="1"/>
  <c r="J96" i="9"/>
  <c r="J95" i="9"/>
  <c r="K95" i="9" s="1"/>
  <c r="J94" i="9"/>
  <c r="L94" i="9" s="1"/>
  <c r="J93" i="9"/>
  <c r="K93" i="9" s="1"/>
  <c r="J92" i="9"/>
  <c r="J91" i="9"/>
  <c r="J90" i="9"/>
  <c r="J89" i="9"/>
  <c r="L89" i="9" s="1"/>
  <c r="J88" i="9"/>
  <c r="J87" i="9"/>
  <c r="J86" i="9"/>
  <c r="J85" i="9"/>
  <c r="K85" i="9" s="1"/>
  <c r="J84" i="9"/>
  <c r="L84" i="9" s="1"/>
  <c r="J83" i="9"/>
  <c r="K83" i="9" s="1"/>
  <c r="J82" i="9"/>
  <c r="J81" i="9"/>
  <c r="J80" i="9"/>
  <c r="J79" i="9"/>
  <c r="L79" i="9" s="1"/>
  <c r="J78" i="9"/>
  <c r="J77" i="9"/>
  <c r="J76" i="9"/>
  <c r="J75" i="9"/>
  <c r="K75" i="9" s="1"/>
  <c r="J74" i="9"/>
  <c r="L74" i="9" s="1"/>
  <c r="J73" i="9"/>
  <c r="K73" i="9" s="1"/>
  <c r="J72" i="9"/>
  <c r="J71" i="9"/>
  <c r="J70" i="9"/>
  <c r="J69" i="9"/>
  <c r="L69" i="9" s="1"/>
  <c r="J68" i="9"/>
  <c r="J67" i="9"/>
  <c r="K67" i="9" s="1"/>
  <c r="J66" i="9"/>
  <c r="J65" i="9"/>
  <c r="K65" i="9" s="1"/>
  <c r="J64" i="9"/>
  <c r="L64" i="9" s="1"/>
  <c r="J63" i="9"/>
  <c r="K63" i="9" s="1"/>
  <c r="J62" i="9"/>
  <c r="J61" i="9"/>
  <c r="J60" i="9"/>
  <c r="J59" i="9"/>
  <c r="L59" i="9" s="1"/>
  <c r="J58" i="9"/>
  <c r="J57" i="9"/>
  <c r="K57" i="9" s="1"/>
  <c r="J56" i="9"/>
  <c r="J55" i="9"/>
  <c r="J54" i="9"/>
  <c r="L54" i="9" s="1"/>
  <c r="J53" i="9"/>
  <c r="J52" i="9"/>
  <c r="K52" i="9" s="1"/>
  <c r="J51" i="9"/>
  <c r="J50" i="9"/>
  <c r="J49" i="9"/>
  <c r="L49" i="9" s="1"/>
  <c r="J48" i="9"/>
  <c r="J47" i="9"/>
  <c r="K47" i="9" s="1"/>
  <c r="J46" i="9"/>
  <c r="J45" i="9"/>
  <c r="J44" i="9"/>
  <c r="L44" i="9" s="1"/>
  <c r="J43" i="9"/>
  <c r="J42" i="9"/>
  <c r="K42" i="9" s="1"/>
  <c r="J41" i="9"/>
  <c r="J40" i="9"/>
  <c r="J39" i="9"/>
  <c r="L39" i="9" s="1"/>
  <c r="J38" i="9"/>
  <c r="J37" i="9"/>
  <c r="K37" i="9" s="1"/>
  <c r="J36" i="9"/>
  <c r="A3" i="11"/>
  <c r="F201" i="1"/>
  <c r="G201" i="1" s="1"/>
  <c r="K201" i="1"/>
  <c r="F202" i="1"/>
  <c r="H202" i="1" s="1"/>
  <c r="K202" i="1"/>
  <c r="F203" i="1"/>
  <c r="H203" i="1" s="1"/>
  <c r="K203" i="1"/>
  <c r="F204" i="1"/>
  <c r="H204" i="1" s="1"/>
  <c r="K204" i="1"/>
  <c r="F205" i="1"/>
  <c r="H205" i="1" s="1"/>
  <c r="K205" i="1"/>
  <c r="F206" i="1"/>
  <c r="H206" i="1" s="1"/>
  <c r="K206" i="1"/>
  <c r="F207" i="1"/>
  <c r="H207" i="1" s="1"/>
  <c r="K207" i="1"/>
  <c r="F208" i="1"/>
  <c r="H208" i="1" s="1"/>
  <c r="K208" i="1"/>
  <c r="F209" i="1"/>
  <c r="H209" i="1" s="1"/>
  <c r="K209" i="1"/>
  <c r="F210" i="1"/>
  <c r="H210" i="1" s="1"/>
  <c r="K210" i="1"/>
  <c r="F211" i="1"/>
  <c r="H211" i="1" s="1"/>
  <c r="K211" i="1"/>
  <c r="F212" i="1"/>
  <c r="H212" i="1" s="1"/>
  <c r="K212" i="1"/>
  <c r="F213" i="1"/>
  <c r="H213" i="1" s="1"/>
  <c r="K213" i="1"/>
  <c r="F214" i="1"/>
  <c r="H214" i="1" s="1"/>
  <c r="K214" i="1"/>
  <c r="F215" i="1"/>
  <c r="H215" i="1" s="1"/>
  <c r="K215" i="1"/>
  <c r="F216" i="1"/>
  <c r="H216" i="1" s="1"/>
  <c r="K216" i="1"/>
  <c r="F217" i="1"/>
  <c r="H217" i="1" s="1"/>
  <c r="K217" i="1"/>
  <c r="F218" i="1"/>
  <c r="H218" i="1" s="1"/>
  <c r="K218" i="1"/>
  <c r="F219" i="1"/>
  <c r="H219" i="1" s="1"/>
  <c r="K219" i="1"/>
  <c r="F220" i="1"/>
  <c r="H220" i="1" s="1"/>
  <c r="K220" i="1"/>
  <c r="F221" i="1"/>
  <c r="H221" i="1" s="1"/>
  <c r="K221" i="1"/>
  <c r="F222" i="1"/>
  <c r="H222" i="1" s="1"/>
  <c r="K222" i="1"/>
  <c r="F223" i="1"/>
  <c r="H223" i="1" s="1"/>
  <c r="K223" i="1"/>
  <c r="F224" i="1"/>
  <c r="H224" i="1" s="1"/>
  <c r="K224" i="1"/>
  <c r="F225" i="1"/>
  <c r="H225" i="1" s="1"/>
  <c r="K225" i="1"/>
  <c r="F226" i="1"/>
  <c r="H226" i="1" s="1"/>
  <c r="K226" i="1"/>
  <c r="F227" i="1"/>
  <c r="H227" i="1" s="1"/>
  <c r="K227" i="1"/>
  <c r="F228" i="1"/>
  <c r="H228" i="1" s="1"/>
  <c r="K228" i="1"/>
  <c r="F229" i="1"/>
  <c r="K229" i="1"/>
  <c r="F230" i="1"/>
  <c r="K230" i="1"/>
  <c r="F231" i="1"/>
  <c r="G231" i="1" s="1"/>
  <c r="K231" i="1"/>
  <c r="F232" i="1"/>
  <c r="G232" i="1" s="1"/>
  <c r="K232" i="1"/>
  <c r="F233" i="1"/>
  <c r="G233" i="1" s="1"/>
  <c r="K233" i="1"/>
  <c r="F234" i="1"/>
  <c r="K234" i="1"/>
  <c r="F235" i="1"/>
  <c r="G235" i="1" s="1"/>
  <c r="K235" i="1"/>
  <c r="F236" i="1"/>
  <c r="H236" i="1" s="1"/>
  <c r="K236" i="1"/>
  <c r="F237" i="1"/>
  <c r="H237" i="1" s="1"/>
  <c r="K237" i="1"/>
  <c r="F238" i="1"/>
  <c r="H238" i="1" s="1"/>
  <c r="K238" i="1"/>
  <c r="F239" i="1"/>
  <c r="H239" i="1" s="1"/>
  <c r="K239" i="1"/>
  <c r="F240" i="1"/>
  <c r="H240" i="1" s="1"/>
  <c r="K240" i="1"/>
  <c r="F241" i="1"/>
  <c r="H241" i="1" s="1"/>
  <c r="K241" i="1"/>
  <c r="F242" i="1"/>
  <c r="H242" i="1" s="1"/>
  <c r="K242" i="1"/>
  <c r="F243" i="1"/>
  <c r="H243" i="1" s="1"/>
  <c r="K243" i="1"/>
  <c r="F244" i="1"/>
  <c r="H244" i="1" s="1"/>
  <c r="K244" i="1"/>
  <c r="F245" i="1"/>
  <c r="H245" i="1" s="1"/>
  <c r="K245" i="1"/>
  <c r="F246" i="1"/>
  <c r="H246" i="1" s="1"/>
  <c r="K246" i="1"/>
  <c r="F247" i="1"/>
  <c r="H247" i="1" s="1"/>
  <c r="K247" i="1"/>
  <c r="F248" i="1"/>
  <c r="H248" i="1" s="1"/>
  <c r="K248" i="1"/>
  <c r="F249" i="1"/>
  <c r="H249" i="1" s="1"/>
  <c r="K249" i="1"/>
  <c r="F250" i="1"/>
  <c r="H250" i="1" s="1"/>
  <c r="K250" i="1"/>
  <c r="F251" i="1"/>
  <c r="H251" i="1" s="1"/>
  <c r="K251" i="1"/>
  <c r="F252" i="1"/>
  <c r="H252" i="1" s="1"/>
  <c r="K252" i="1"/>
  <c r="F253" i="1"/>
  <c r="H253" i="1" s="1"/>
  <c r="K253" i="1"/>
  <c r="F254" i="1"/>
  <c r="H254" i="1" s="1"/>
  <c r="K254" i="1"/>
  <c r="F255" i="1"/>
  <c r="H255" i="1" s="1"/>
  <c r="K255" i="1"/>
  <c r="F256" i="1"/>
  <c r="H256" i="1" s="1"/>
  <c r="K256" i="1"/>
  <c r="F257" i="1"/>
  <c r="J257" i="1" s="1"/>
  <c r="K257" i="1"/>
  <c r="F258" i="1"/>
  <c r="K258" i="1"/>
  <c r="F259" i="1"/>
  <c r="H259" i="1" s="1"/>
  <c r="K259" i="1"/>
  <c r="F260" i="1"/>
  <c r="K260" i="1"/>
  <c r="F261" i="1"/>
  <c r="H261" i="1" s="1"/>
  <c r="K261" i="1"/>
  <c r="F262" i="1"/>
  <c r="K262" i="1"/>
  <c r="F263" i="1"/>
  <c r="H263" i="1" s="1"/>
  <c r="K263" i="1"/>
  <c r="F264" i="1"/>
  <c r="K264" i="1"/>
  <c r="F265" i="1"/>
  <c r="H265" i="1" s="1"/>
  <c r="K265" i="1"/>
  <c r="F266" i="1"/>
  <c r="K266" i="1"/>
  <c r="F267" i="1"/>
  <c r="H267" i="1" s="1"/>
  <c r="K267" i="1"/>
  <c r="F268" i="1"/>
  <c r="K268" i="1"/>
  <c r="F269" i="1"/>
  <c r="H269" i="1" s="1"/>
  <c r="K269" i="1"/>
  <c r="F270" i="1"/>
  <c r="K270" i="1"/>
  <c r="F271" i="1"/>
  <c r="H271" i="1" s="1"/>
  <c r="K271" i="1"/>
  <c r="F272" i="1"/>
  <c r="K272" i="1"/>
  <c r="F273" i="1"/>
  <c r="H273" i="1" s="1"/>
  <c r="K273" i="1"/>
  <c r="F274" i="1"/>
  <c r="K274" i="1"/>
  <c r="F275" i="1"/>
  <c r="H275" i="1" s="1"/>
  <c r="K275" i="1"/>
  <c r="F276" i="1"/>
  <c r="K276" i="1"/>
  <c r="F277" i="1"/>
  <c r="H277" i="1" s="1"/>
  <c r="K277" i="1"/>
  <c r="F278" i="1"/>
  <c r="K278" i="1"/>
  <c r="F279" i="1"/>
  <c r="H279" i="1" s="1"/>
  <c r="K279" i="1"/>
  <c r="F280" i="1"/>
  <c r="K280" i="1"/>
  <c r="F281" i="1"/>
  <c r="K281" i="1"/>
  <c r="F282" i="1"/>
  <c r="H282" i="1" s="1"/>
  <c r="K282" i="1"/>
  <c r="F283" i="1"/>
  <c r="H283" i="1" s="1"/>
  <c r="K283" i="1"/>
  <c r="F284" i="1"/>
  <c r="H284" i="1" s="1"/>
  <c r="K284" i="1"/>
  <c r="F285" i="1"/>
  <c r="H285" i="1" s="1"/>
  <c r="K285" i="1"/>
  <c r="F286" i="1"/>
  <c r="H286" i="1" s="1"/>
  <c r="K286" i="1"/>
  <c r="F287" i="1"/>
  <c r="H287" i="1" s="1"/>
  <c r="K287" i="1"/>
  <c r="F288" i="1"/>
  <c r="H288" i="1" s="1"/>
  <c r="K288" i="1"/>
  <c r="F289" i="1"/>
  <c r="H289" i="1" s="1"/>
  <c r="K289" i="1"/>
  <c r="F290" i="1"/>
  <c r="H290" i="1" s="1"/>
  <c r="K290" i="1"/>
  <c r="F291" i="1"/>
  <c r="H291" i="1" s="1"/>
  <c r="K291" i="1"/>
  <c r="F292" i="1"/>
  <c r="H292" i="1" s="1"/>
  <c r="K292" i="1"/>
  <c r="F293" i="1"/>
  <c r="H293" i="1" s="1"/>
  <c r="K293" i="1"/>
  <c r="F294" i="1"/>
  <c r="H294" i="1" s="1"/>
  <c r="K294" i="1"/>
  <c r="F295" i="1"/>
  <c r="H295" i="1" s="1"/>
  <c r="K295" i="1"/>
  <c r="F296" i="1"/>
  <c r="H296" i="1" s="1"/>
  <c r="K296" i="1"/>
  <c r="F297" i="1"/>
  <c r="H297" i="1" s="1"/>
  <c r="K297" i="1"/>
  <c r="F298" i="1"/>
  <c r="H298" i="1" s="1"/>
  <c r="K298" i="1"/>
  <c r="F299" i="1"/>
  <c r="H299" i="1" s="1"/>
  <c r="K299" i="1"/>
  <c r="F300" i="1"/>
  <c r="H300" i="1" s="1"/>
  <c r="K300" i="1"/>
  <c r="F301" i="1"/>
  <c r="H301" i="1" s="1"/>
  <c r="K301" i="1"/>
  <c r="F302" i="1"/>
  <c r="H302" i="1" s="1"/>
  <c r="K302" i="1"/>
  <c r="F303" i="1"/>
  <c r="H303" i="1" s="1"/>
  <c r="K303" i="1"/>
  <c r="F304" i="1"/>
  <c r="H304" i="1" s="1"/>
  <c r="K304" i="1"/>
  <c r="F305" i="1"/>
  <c r="H305" i="1" s="1"/>
  <c r="K305" i="1"/>
  <c r="F306" i="1"/>
  <c r="H306" i="1" s="1"/>
  <c r="K306" i="1"/>
  <c r="F307" i="1"/>
  <c r="G307" i="1" s="1"/>
  <c r="K307" i="1"/>
  <c r="F308" i="1"/>
  <c r="G308" i="1" s="1"/>
  <c r="K308" i="1"/>
  <c r="F309" i="1"/>
  <c r="G309" i="1" s="1"/>
  <c r="K309" i="1"/>
  <c r="F310" i="1"/>
  <c r="G310" i="1" s="1"/>
  <c r="K310" i="1"/>
  <c r="F311" i="1"/>
  <c r="G311" i="1" s="1"/>
  <c r="K311" i="1"/>
  <c r="F312" i="1"/>
  <c r="G312" i="1" s="1"/>
  <c r="K312" i="1"/>
  <c r="F313" i="1"/>
  <c r="G313" i="1" s="1"/>
  <c r="K313" i="1"/>
  <c r="F314" i="1"/>
  <c r="K314" i="1"/>
  <c r="F315" i="1"/>
  <c r="H315" i="1" s="1"/>
  <c r="K315" i="1"/>
  <c r="F316" i="1"/>
  <c r="K316" i="1"/>
  <c r="F317" i="1"/>
  <c r="H317" i="1" s="1"/>
  <c r="K317" i="1"/>
  <c r="F318" i="1"/>
  <c r="K318" i="1"/>
  <c r="F319" i="1"/>
  <c r="H319" i="1" s="1"/>
  <c r="K319" i="1"/>
  <c r="F320" i="1"/>
  <c r="K320" i="1"/>
  <c r="F321" i="1"/>
  <c r="H321" i="1" s="1"/>
  <c r="K321" i="1"/>
  <c r="F322" i="1"/>
  <c r="K322" i="1"/>
  <c r="F323" i="1"/>
  <c r="H323" i="1" s="1"/>
  <c r="K323" i="1"/>
  <c r="F324" i="1"/>
  <c r="K324" i="1"/>
  <c r="F325" i="1"/>
  <c r="H325" i="1" s="1"/>
  <c r="K325" i="1"/>
  <c r="F326" i="1"/>
  <c r="K326" i="1"/>
  <c r="F327" i="1"/>
  <c r="H327" i="1" s="1"/>
  <c r="K327" i="1"/>
  <c r="F328" i="1"/>
  <c r="K328" i="1"/>
  <c r="F329" i="1"/>
  <c r="H329" i="1" s="1"/>
  <c r="K329" i="1"/>
  <c r="F330" i="1"/>
  <c r="H330" i="1" s="1"/>
  <c r="K330" i="1"/>
  <c r="F331" i="1"/>
  <c r="H331" i="1" s="1"/>
  <c r="K331" i="1"/>
  <c r="F332" i="1"/>
  <c r="H332" i="1" s="1"/>
  <c r="K332" i="1"/>
  <c r="F333" i="1"/>
  <c r="H333" i="1" s="1"/>
  <c r="K333" i="1"/>
  <c r="F334" i="1"/>
  <c r="H334" i="1" s="1"/>
  <c r="K334" i="1"/>
  <c r="F335" i="1"/>
  <c r="H335" i="1" s="1"/>
  <c r="K335" i="1"/>
  <c r="F336" i="1"/>
  <c r="H336" i="1" s="1"/>
  <c r="K336" i="1"/>
  <c r="F337" i="1"/>
  <c r="K337" i="1"/>
  <c r="F338" i="1"/>
  <c r="H338" i="1" s="1"/>
  <c r="K338" i="1"/>
  <c r="F339" i="1"/>
  <c r="K339" i="1"/>
  <c r="F340" i="1"/>
  <c r="H340" i="1" s="1"/>
  <c r="K340" i="1"/>
  <c r="F341" i="1"/>
  <c r="K341" i="1"/>
  <c r="F342" i="1"/>
  <c r="H342" i="1" s="1"/>
  <c r="K342" i="1"/>
  <c r="F343" i="1"/>
  <c r="K343" i="1"/>
  <c r="F344" i="1"/>
  <c r="H344" i="1" s="1"/>
  <c r="K344" i="1"/>
  <c r="F345" i="1"/>
  <c r="K345" i="1"/>
  <c r="F346" i="1"/>
  <c r="H346" i="1" s="1"/>
  <c r="K346" i="1"/>
  <c r="F347" i="1"/>
  <c r="K347" i="1"/>
  <c r="F348" i="1"/>
  <c r="H348" i="1" s="1"/>
  <c r="K348" i="1"/>
  <c r="F349" i="1"/>
  <c r="K349" i="1"/>
  <c r="F350" i="1"/>
  <c r="H350" i="1" s="1"/>
  <c r="K350" i="1"/>
  <c r="F351" i="1"/>
  <c r="K351" i="1"/>
  <c r="F352" i="1"/>
  <c r="H352" i="1" s="1"/>
  <c r="K352" i="1"/>
  <c r="F353" i="1"/>
  <c r="K353" i="1"/>
  <c r="F354" i="1"/>
  <c r="H354" i="1" s="1"/>
  <c r="K354" i="1"/>
  <c r="F355" i="1"/>
  <c r="K355" i="1"/>
  <c r="F356" i="1"/>
  <c r="H356" i="1" s="1"/>
  <c r="K356" i="1"/>
  <c r="F357" i="1"/>
  <c r="K357" i="1"/>
  <c r="F358" i="1"/>
  <c r="H358" i="1" s="1"/>
  <c r="K358" i="1"/>
  <c r="F359" i="1"/>
  <c r="K359" i="1"/>
  <c r="F360" i="1"/>
  <c r="H360" i="1" s="1"/>
  <c r="K360" i="1"/>
  <c r="F361" i="1"/>
  <c r="K361" i="1"/>
  <c r="F362" i="1"/>
  <c r="H362" i="1" s="1"/>
  <c r="K362" i="1"/>
  <c r="F363" i="1"/>
  <c r="K363" i="1"/>
  <c r="F364" i="1"/>
  <c r="H364" i="1" s="1"/>
  <c r="K364" i="1"/>
  <c r="F365" i="1"/>
  <c r="K365" i="1"/>
  <c r="F366" i="1"/>
  <c r="H366" i="1" s="1"/>
  <c r="K366" i="1"/>
  <c r="F367" i="1"/>
  <c r="K367" i="1"/>
  <c r="F368" i="1"/>
  <c r="H368" i="1" s="1"/>
  <c r="K368" i="1"/>
  <c r="F369" i="1"/>
  <c r="K369" i="1"/>
  <c r="F370" i="1"/>
  <c r="H370" i="1" s="1"/>
  <c r="K370" i="1"/>
  <c r="F371" i="1"/>
  <c r="K371" i="1"/>
  <c r="F372" i="1"/>
  <c r="H372" i="1" s="1"/>
  <c r="K372" i="1"/>
  <c r="F373" i="1"/>
  <c r="K373" i="1"/>
  <c r="F374" i="1"/>
  <c r="H374" i="1" s="1"/>
  <c r="K374" i="1"/>
  <c r="F375" i="1"/>
  <c r="K375" i="1"/>
  <c r="F376" i="1"/>
  <c r="H376" i="1" s="1"/>
  <c r="K376" i="1"/>
  <c r="F377" i="1"/>
  <c r="K377" i="1"/>
  <c r="F378" i="1"/>
  <c r="H378" i="1" s="1"/>
  <c r="K378" i="1"/>
  <c r="F379" i="1"/>
  <c r="K379" i="1"/>
  <c r="F380" i="1"/>
  <c r="H380" i="1" s="1"/>
  <c r="K380" i="1"/>
  <c r="F381" i="1"/>
  <c r="K381" i="1"/>
  <c r="F382" i="1"/>
  <c r="H382" i="1" s="1"/>
  <c r="K382" i="1"/>
  <c r="F383" i="1"/>
  <c r="K383" i="1"/>
  <c r="F384" i="1"/>
  <c r="H384" i="1" s="1"/>
  <c r="K384" i="1"/>
  <c r="F385" i="1"/>
  <c r="K385" i="1"/>
  <c r="F386" i="1"/>
  <c r="H386" i="1" s="1"/>
  <c r="K386" i="1"/>
  <c r="F387" i="1"/>
  <c r="K387" i="1"/>
  <c r="F388" i="1"/>
  <c r="H388" i="1" s="1"/>
  <c r="K388" i="1"/>
  <c r="F389" i="1"/>
  <c r="K389" i="1"/>
  <c r="F390" i="1"/>
  <c r="H390" i="1" s="1"/>
  <c r="K390" i="1"/>
  <c r="F391" i="1"/>
  <c r="K391" i="1"/>
  <c r="F392" i="1"/>
  <c r="H392" i="1" s="1"/>
  <c r="K392" i="1"/>
  <c r="F393" i="1"/>
  <c r="K393" i="1"/>
  <c r="F394" i="1"/>
  <c r="K394" i="1"/>
  <c r="F395" i="1"/>
  <c r="H395" i="1" s="1"/>
  <c r="K395" i="1"/>
  <c r="F396" i="1"/>
  <c r="H396" i="1" s="1"/>
  <c r="K396" i="1"/>
  <c r="F397" i="1"/>
  <c r="H397" i="1" s="1"/>
  <c r="K397" i="1"/>
  <c r="F398" i="1"/>
  <c r="H398" i="1" s="1"/>
  <c r="K398" i="1"/>
  <c r="F399" i="1"/>
  <c r="H399" i="1" s="1"/>
  <c r="K399" i="1"/>
  <c r="F400" i="1"/>
  <c r="H400" i="1" s="1"/>
  <c r="K400" i="1"/>
  <c r="F401" i="1"/>
  <c r="H401" i="1" s="1"/>
  <c r="K401" i="1"/>
  <c r="F402" i="1"/>
  <c r="H402" i="1" s="1"/>
  <c r="K402" i="1"/>
  <c r="F403" i="1"/>
  <c r="H403" i="1" s="1"/>
  <c r="K403" i="1"/>
  <c r="F404" i="1"/>
  <c r="H404" i="1" s="1"/>
  <c r="K404" i="1"/>
  <c r="F405" i="1"/>
  <c r="H405" i="1" s="1"/>
  <c r="K405" i="1"/>
  <c r="F406" i="1"/>
  <c r="H406" i="1" s="1"/>
  <c r="K406" i="1"/>
  <c r="F407" i="1"/>
  <c r="H407" i="1" s="1"/>
  <c r="K407" i="1"/>
  <c r="F408" i="1"/>
  <c r="H408" i="1" s="1"/>
  <c r="K408" i="1"/>
  <c r="F409" i="1"/>
  <c r="H409" i="1" s="1"/>
  <c r="K409" i="1"/>
  <c r="F410" i="1"/>
  <c r="H410" i="1" s="1"/>
  <c r="K410" i="1"/>
  <c r="F411" i="1"/>
  <c r="H411" i="1" s="1"/>
  <c r="K411" i="1"/>
  <c r="F412" i="1"/>
  <c r="H412" i="1" s="1"/>
  <c r="K412" i="1"/>
  <c r="F413" i="1"/>
  <c r="H413" i="1" s="1"/>
  <c r="K413" i="1"/>
  <c r="F414" i="1"/>
  <c r="H414" i="1" s="1"/>
  <c r="K414" i="1"/>
  <c r="F415" i="1"/>
  <c r="H415" i="1" s="1"/>
  <c r="K415" i="1"/>
  <c r="F416" i="1"/>
  <c r="H416" i="1" s="1"/>
  <c r="K416" i="1"/>
  <c r="F417" i="1"/>
  <c r="H417" i="1" s="1"/>
  <c r="K417" i="1"/>
  <c r="F418" i="1"/>
  <c r="H418" i="1" s="1"/>
  <c r="K418" i="1"/>
  <c r="F419" i="1"/>
  <c r="H419" i="1" s="1"/>
  <c r="K419" i="1"/>
  <c r="F420" i="1"/>
  <c r="H420" i="1" s="1"/>
  <c r="K420" i="1"/>
  <c r="F421" i="1"/>
  <c r="H421" i="1" s="1"/>
  <c r="K421" i="1"/>
  <c r="F422" i="1"/>
  <c r="H422" i="1" s="1"/>
  <c r="K422" i="1"/>
  <c r="F423" i="1"/>
  <c r="H423" i="1" s="1"/>
  <c r="K423" i="1"/>
  <c r="F424" i="1"/>
  <c r="H424" i="1" s="1"/>
  <c r="K424" i="1"/>
  <c r="F425" i="1"/>
  <c r="H425" i="1" s="1"/>
  <c r="K425" i="1"/>
  <c r="F426" i="1"/>
  <c r="H426" i="1" s="1"/>
  <c r="K426" i="1"/>
  <c r="F427" i="1"/>
  <c r="H427" i="1" s="1"/>
  <c r="K427" i="1"/>
  <c r="F428" i="1"/>
  <c r="H428" i="1" s="1"/>
  <c r="K428" i="1"/>
  <c r="F429" i="1"/>
  <c r="H429" i="1" s="1"/>
  <c r="K429" i="1"/>
  <c r="F430" i="1"/>
  <c r="H430" i="1" s="1"/>
  <c r="K430" i="1"/>
  <c r="F431" i="1"/>
  <c r="H431" i="1" s="1"/>
  <c r="K431" i="1"/>
  <c r="F432" i="1"/>
  <c r="H432" i="1" s="1"/>
  <c r="K432" i="1"/>
  <c r="F433" i="1"/>
  <c r="H433" i="1" s="1"/>
  <c r="K433" i="1"/>
  <c r="F434" i="1"/>
  <c r="H434" i="1" s="1"/>
  <c r="K434" i="1"/>
  <c r="F435" i="1"/>
  <c r="H435" i="1" s="1"/>
  <c r="K435" i="1"/>
  <c r="F436" i="1"/>
  <c r="H436" i="1" s="1"/>
  <c r="K436" i="1"/>
  <c r="F437" i="1"/>
  <c r="H437" i="1" s="1"/>
  <c r="K437" i="1"/>
  <c r="F438" i="1"/>
  <c r="H438" i="1" s="1"/>
  <c r="K438" i="1"/>
  <c r="F439" i="1"/>
  <c r="H439" i="1" s="1"/>
  <c r="K439" i="1"/>
  <c r="F440" i="1"/>
  <c r="H440" i="1" s="1"/>
  <c r="K440" i="1"/>
  <c r="F441" i="1"/>
  <c r="H441" i="1" s="1"/>
  <c r="K441" i="1"/>
  <c r="F442" i="1"/>
  <c r="H442" i="1" s="1"/>
  <c r="K442" i="1"/>
  <c r="F443" i="1"/>
  <c r="H443" i="1" s="1"/>
  <c r="K443" i="1"/>
  <c r="F444" i="1"/>
  <c r="G444" i="1" s="1"/>
  <c r="K444" i="1"/>
  <c r="F445" i="1"/>
  <c r="G445" i="1" s="1"/>
  <c r="K445" i="1"/>
  <c r="F446" i="1"/>
  <c r="G446" i="1" s="1"/>
  <c r="K446" i="1"/>
  <c r="F447" i="1"/>
  <c r="G447" i="1" s="1"/>
  <c r="K447" i="1"/>
  <c r="F448" i="1"/>
  <c r="G448" i="1" s="1"/>
  <c r="K448" i="1"/>
  <c r="F449" i="1"/>
  <c r="G449" i="1" s="1"/>
  <c r="K449" i="1"/>
  <c r="F450" i="1"/>
  <c r="G450" i="1" s="1"/>
  <c r="K450" i="1"/>
  <c r="F451" i="1"/>
  <c r="G451" i="1" s="1"/>
  <c r="K451" i="1"/>
  <c r="F452" i="1"/>
  <c r="K452" i="1"/>
  <c r="F453" i="1"/>
  <c r="G453" i="1" s="1"/>
  <c r="K453" i="1"/>
  <c r="F454" i="1"/>
  <c r="K454" i="1"/>
  <c r="F455" i="1"/>
  <c r="G455" i="1" s="1"/>
  <c r="K455" i="1"/>
  <c r="F456" i="1"/>
  <c r="K456" i="1"/>
  <c r="F457" i="1"/>
  <c r="G457" i="1" s="1"/>
  <c r="K457" i="1"/>
  <c r="F458" i="1"/>
  <c r="K458" i="1"/>
  <c r="F459" i="1"/>
  <c r="G459" i="1" s="1"/>
  <c r="K459" i="1"/>
  <c r="F460" i="1"/>
  <c r="K460" i="1"/>
  <c r="F461" i="1"/>
  <c r="H461" i="1" s="1"/>
  <c r="K461" i="1"/>
  <c r="F462" i="1"/>
  <c r="G462" i="1" s="1"/>
  <c r="K462" i="1"/>
  <c r="F463" i="1"/>
  <c r="G463" i="1" s="1"/>
  <c r="K463" i="1"/>
  <c r="F464" i="1"/>
  <c r="H464" i="1" s="1"/>
  <c r="K464" i="1"/>
  <c r="F465" i="1"/>
  <c r="G465" i="1" s="1"/>
  <c r="K465" i="1"/>
  <c r="F466" i="1"/>
  <c r="H466" i="1" s="1"/>
  <c r="K466" i="1"/>
  <c r="F467" i="1"/>
  <c r="G467" i="1" s="1"/>
  <c r="K467" i="1"/>
  <c r="F468" i="1"/>
  <c r="H468" i="1" s="1"/>
  <c r="K468" i="1"/>
  <c r="F469" i="1"/>
  <c r="G469" i="1" s="1"/>
  <c r="K469" i="1"/>
  <c r="F470" i="1"/>
  <c r="H470" i="1" s="1"/>
  <c r="K470" i="1"/>
  <c r="F471" i="1"/>
  <c r="G471" i="1" s="1"/>
  <c r="K471" i="1"/>
  <c r="F472" i="1"/>
  <c r="G472" i="1" s="1"/>
  <c r="K472" i="1"/>
  <c r="F473" i="1"/>
  <c r="H473" i="1" s="1"/>
  <c r="K473" i="1"/>
  <c r="F474" i="1"/>
  <c r="H474" i="1" s="1"/>
  <c r="K474" i="1"/>
  <c r="F475" i="1"/>
  <c r="G475" i="1" s="1"/>
  <c r="K475" i="1"/>
  <c r="F476" i="1"/>
  <c r="H476" i="1" s="1"/>
  <c r="K476" i="1"/>
  <c r="F477" i="1"/>
  <c r="G477" i="1" s="1"/>
  <c r="K477" i="1"/>
  <c r="F478" i="1"/>
  <c r="H478" i="1" s="1"/>
  <c r="K478" i="1"/>
  <c r="F479" i="1"/>
  <c r="G479" i="1" s="1"/>
  <c r="K479" i="1"/>
  <c r="F480" i="1"/>
  <c r="H480" i="1" s="1"/>
  <c r="K480" i="1"/>
  <c r="F481" i="1"/>
  <c r="G481" i="1" s="1"/>
  <c r="K481" i="1"/>
  <c r="F482" i="1"/>
  <c r="H482" i="1" s="1"/>
  <c r="K482" i="1"/>
  <c r="F483" i="1"/>
  <c r="G483" i="1" s="1"/>
  <c r="K483" i="1"/>
  <c r="F484" i="1"/>
  <c r="H484" i="1" s="1"/>
  <c r="K484" i="1"/>
  <c r="F485" i="1"/>
  <c r="G485" i="1" s="1"/>
  <c r="K485" i="1"/>
  <c r="F486" i="1"/>
  <c r="H486" i="1" s="1"/>
  <c r="K486" i="1"/>
  <c r="F487" i="1"/>
  <c r="G487" i="1" s="1"/>
  <c r="K487" i="1"/>
  <c r="F488" i="1"/>
  <c r="H488" i="1" s="1"/>
  <c r="K488" i="1"/>
  <c r="F489" i="1"/>
  <c r="G489" i="1" s="1"/>
  <c r="K489" i="1"/>
  <c r="F490" i="1"/>
  <c r="G490" i="1" s="1"/>
  <c r="K490" i="1"/>
  <c r="F491" i="1"/>
  <c r="H491" i="1" s="1"/>
  <c r="K491" i="1"/>
  <c r="F492" i="1"/>
  <c r="K492" i="1"/>
  <c r="F493" i="1"/>
  <c r="G493" i="1" s="1"/>
  <c r="K493" i="1"/>
  <c r="F494" i="1"/>
  <c r="G494" i="1" s="1"/>
  <c r="K494" i="1"/>
  <c r="F495" i="1"/>
  <c r="H495" i="1" s="1"/>
  <c r="K495" i="1"/>
  <c r="F496" i="1"/>
  <c r="G496" i="1" s="1"/>
  <c r="K496" i="1"/>
  <c r="F497" i="1"/>
  <c r="H497" i="1" s="1"/>
  <c r="K497" i="1"/>
  <c r="F498" i="1"/>
  <c r="G498" i="1" s="1"/>
  <c r="K498" i="1"/>
  <c r="F499" i="1"/>
  <c r="H499" i="1" s="1"/>
  <c r="K499" i="1"/>
  <c r="F500" i="1"/>
  <c r="G500" i="1" s="1"/>
  <c r="K500" i="1"/>
  <c r="H685" i="1" l="1"/>
  <c r="H700" i="1"/>
  <c r="H698" i="1"/>
  <c r="H696" i="1"/>
  <c r="H694" i="1"/>
  <c r="H692" i="1"/>
  <c r="H690" i="1"/>
  <c r="H688" i="1"/>
  <c r="H686" i="1"/>
  <c r="L700" i="1"/>
  <c r="J700" i="1"/>
  <c r="L699" i="1"/>
  <c r="J699" i="1"/>
  <c r="G699" i="1"/>
  <c r="L698" i="1"/>
  <c r="J698" i="1"/>
  <c r="L697" i="1"/>
  <c r="J697" i="1"/>
  <c r="G697" i="1"/>
  <c r="L696" i="1"/>
  <c r="J696" i="1"/>
  <c r="L695" i="1"/>
  <c r="J695" i="1"/>
  <c r="G695" i="1"/>
  <c r="L694" i="1"/>
  <c r="J694" i="1"/>
  <c r="L693" i="1"/>
  <c r="J693" i="1"/>
  <c r="G693" i="1"/>
  <c r="L692" i="1"/>
  <c r="J692" i="1"/>
  <c r="L691" i="1"/>
  <c r="J691" i="1"/>
  <c r="G691" i="1"/>
  <c r="L690" i="1"/>
  <c r="J690" i="1"/>
  <c r="L689" i="1"/>
  <c r="J689" i="1"/>
  <c r="G689" i="1"/>
  <c r="L688" i="1"/>
  <c r="J688" i="1"/>
  <c r="L687" i="1"/>
  <c r="J687" i="1"/>
  <c r="G687" i="1"/>
  <c r="L686" i="1"/>
  <c r="J686" i="1"/>
  <c r="L685" i="1"/>
  <c r="J685" i="1"/>
  <c r="L684" i="1"/>
  <c r="J684" i="1"/>
  <c r="H684" i="1"/>
  <c r="G683" i="1"/>
  <c r="J683" i="1"/>
  <c r="L683" i="1"/>
  <c r="G681" i="1"/>
  <c r="J681" i="1"/>
  <c r="L681" i="1"/>
  <c r="G679" i="1"/>
  <c r="J679" i="1"/>
  <c r="L679" i="1"/>
  <c r="G677" i="1"/>
  <c r="J677" i="1"/>
  <c r="L677" i="1"/>
  <c r="G675" i="1"/>
  <c r="J675" i="1"/>
  <c r="L675" i="1"/>
  <c r="G673" i="1"/>
  <c r="J673" i="1"/>
  <c r="L673" i="1"/>
  <c r="G671" i="1"/>
  <c r="J671" i="1"/>
  <c r="L671" i="1"/>
  <c r="G669" i="1"/>
  <c r="J669" i="1"/>
  <c r="L669" i="1"/>
  <c r="G667" i="1"/>
  <c r="J667" i="1"/>
  <c r="L667" i="1"/>
  <c r="G665" i="1"/>
  <c r="J665" i="1"/>
  <c r="L665" i="1"/>
  <c r="G663" i="1"/>
  <c r="J663" i="1"/>
  <c r="L663" i="1"/>
  <c r="G661" i="1"/>
  <c r="J661" i="1"/>
  <c r="L661" i="1"/>
  <c r="G659" i="1"/>
  <c r="J659" i="1"/>
  <c r="L659" i="1"/>
  <c r="G657" i="1"/>
  <c r="J657" i="1"/>
  <c r="L657" i="1"/>
  <c r="H656" i="1"/>
  <c r="L656" i="1"/>
  <c r="G682" i="1"/>
  <c r="J682" i="1"/>
  <c r="L682" i="1"/>
  <c r="G680" i="1"/>
  <c r="J680" i="1"/>
  <c r="L680" i="1"/>
  <c r="G678" i="1"/>
  <c r="J678" i="1"/>
  <c r="L678" i="1"/>
  <c r="G676" i="1"/>
  <c r="J676" i="1"/>
  <c r="L676" i="1"/>
  <c r="G674" i="1"/>
  <c r="J674" i="1"/>
  <c r="L674" i="1"/>
  <c r="G672" i="1"/>
  <c r="J672" i="1"/>
  <c r="L672" i="1"/>
  <c r="G670" i="1"/>
  <c r="J670" i="1"/>
  <c r="L670" i="1"/>
  <c r="G668" i="1"/>
  <c r="J668" i="1"/>
  <c r="L668" i="1"/>
  <c r="G666" i="1"/>
  <c r="J666" i="1"/>
  <c r="L666" i="1"/>
  <c r="G664" i="1"/>
  <c r="J664" i="1"/>
  <c r="L664" i="1"/>
  <c r="G662" i="1"/>
  <c r="J662" i="1"/>
  <c r="L662" i="1"/>
  <c r="G660" i="1"/>
  <c r="J660" i="1"/>
  <c r="L660" i="1"/>
  <c r="G658" i="1"/>
  <c r="J658" i="1"/>
  <c r="L658" i="1"/>
  <c r="H584" i="1"/>
  <c r="H588" i="1"/>
  <c r="G656" i="1"/>
  <c r="J656" i="1"/>
  <c r="G654" i="1"/>
  <c r="J654" i="1"/>
  <c r="L654" i="1"/>
  <c r="G652" i="1"/>
  <c r="J652" i="1"/>
  <c r="L652" i="1"/>
  <c r="G650" i="1"/>
  <c r="J650" i="1"/>
  <c r="L650" i="1"/>
  <c r="G648" i="1"/>
  <c r="J648" i="1"/>
  <c r="L648" i="1"/>
  <c r="G646" i="1"/>
  <c r="J646" i="1"/>
  <c r="L646" i="1"/>
  <c r="G644" i="1"/>
  <c r="J644" i="1"/>
  <c r="L644" i="1"/>
  <c r="G642" i="1"/>
  <c r="J642" i="1"/>
  <c r="L642" i="1"/>
  <c r="G640" i="1"/>
  <c r="J640" i="1"/>
  <c r="L640" i="1"/>
  <c r="G638" i="1"/>
  <c r="J638" i="1"/>
  <c r="L638" i="1"/>
  <c r="G636" i="1"/>
  <c r="J636" i="1"/>
  <c r="L636" i="1"/>
  <c r="G634" i="1"/>
  <c r="J634" i="1"/>
  <c r="L634" i="1"/>
  <c r="G582" i="1"/>
  <c r="H582" i="1"/>
  <c r="G655" i="1"/>
  <c r="J655" i="1"/>
  <c r="L655" i="1"/>
  <c r="G653" i="1"/>
  <c r="J653" i="1"/>
  <c r="L653" i="1"/>
  <c r="G651" i="1"/>
  <c r="J651" i="1"/>
  <c r="L651" i="1"/>
  <c r="G649" i="1"/>
  <c r="J649" i="1"/>
  <c r="L649" i="1"/>
  <c r="G647" i="1"/>
  <c r="J647" i="1"/>
  <c r="L647" i="1"/>
  <c r="G645" i="1"/>
  <c r="J645" i="1"/>
  <c r="L645" i="1"/>
  <c r="G643" i="1"/>
  <c r="J643" i="1"/>
  <c r="L643" i="1"/>
  <c r="G641" i="1"/>
  <c r="J641" i="1"/>
  <c r="L641" i="1"/>
  <c r="G639" i="1"/>
  <c r="J639" i="1"/>
  <c r="L639" i="1"/>
  <c r="G637" i="1"/>
  <c r="J637" i="1"/>
  <c r="L637" i="1"/>
  <c r="G635" i="1"/>
  <c r="J635" i="1"/>
  <c r="L635" i="1"/>
  <c r="G633" i="1"/>
  <c r="J633" i="1"/>
  <c r="L633" i="1"/>
  <c r="H632" i="1"/>
  <c r="L632" i="1"/>
  <c r="G586" i="1"/>
  <c r="H586" i="1"/>
  <c r="H530" i="1"/>
  <c r="H587" i="1"/>
  <c r="H585" i="1"/>
  <c r="H583" i="1"/>
  <c r="A4" i="11"/>
  <c r="A5" i="11" s="1"/>
  <c r="G632" i="1"/>
  <c r="J632" i="1"/>
  <c r="G630" i="1"/>
  <c r="J630" i="1"/>
  <c r="L630" i="1"/>
  <c r="G628" i="1"/>
  <c r="J628" i="1"/>
  <c r="L628" i="1"/>
  <c r="G626" i="1"/>
  <c r="J626" i="1"/>
  <c r="L626" i="1"/>
  <c r="G624" i="1"/>
  <c r="J624" i="1"/>
  <c r="L624" i="1"/>
  <c r="G622" i="1"/>
  <c r="J622" i="1"/>
  <c r="L622" i="1"/>
  <c r="G620" i="1"/>
  <c r="J620" i="1"/>
  <c r="L620" i="1"/>
  <c r="G618" i="1"/>
  <c r="J618" i="1"/>
  <c r="L618" i="1"/>
  <c r="G616" i="1"/>
  <c r="J616" i="1"/>
  <c r="L616" i="1"/>
  <c r="G614" i="1"/>
  <c r="J614" i="1"/>
  <c r="L614" i="1"/>
  <c r="G612" i="1"/>
  <c r="J612" i="1"/>
  <c r="L612" i="1"/>
  <c r="G610" i="1"/>
  <c r="J610" i="1"/>
  <c r="L610" i="1"/>
  <c r="G608" i="1"/>
  <c r="J608" i="1"/>
  <c r="L608" i="1"/>
  <c r="G606" i="1"/>
  <c r="J606" i="1"/>
  <c r="L606" i="1"/>
  <c r="G604" i="1"/>
  <c r="J604" i="1"/>
  <c r="L604" i="1"/>
  <c r="G602" i="1"/>
  <c r="J602" i="1"/>
  <c r="L602" i="1"/>
  <c r="G600" i="1"/>
  <c r="J600" i="1"/>
  <c r="L600" i="1"/>
  <c r="G598" i="1"/>
  <c r="J598" i="1"/>
  <c r="L598" i="1"/>
  <c r="G596" i="1"/>
  <c r="J596" i="1"/>
  <c r="L596" i="1"/>
  <c r="G594" i="1"/>
  <c r="J594" i="1"/>
  <c r="L594" i="1"/>
  <c r="G592" i="1"/>
  <c r="J592" i="1"/>
  <c r="L592" i="1"/>
  <c r="G590" i="1"/>
  <c r="J590" i="1"/>
  <c r="L590" i="1"/>
  <c r="G631" i="1"/>
  <c r="J631" i="1"/>
  <c r="L631" i="1"/>
  <c r="G629" i="1"/>
  <c r="J629" i="1"/>
  <c r="L629" i="1"/>
  <c r="G627" i="1"/>
  <c r="J627" i="1"/>
  <c r="L627" i="1"/>
  <c r="G625" i="1"/>
  <c r="J625" i="1"/>
  <c r="L625" i="1"/>
  <c r="G623" i="1"/>
  <c r="J623" i="1"/>
  <c r="L623" i="1"/>
  <c r="G621" i="1"/>
  <c r="J621" i="1"/>
  <c r="L621" i="1"/>
  <c r="G619" i="1"/>
  <c r="J619" i="1"/>
  <c r="L619" i="1"/>
  <c r="G617" i="1"/>
  <c r="J617" i="1"/>
  <c r="L617" i="1"/>
  <c r="G615" i="1"/>
  <c r="J615" i="1"/>
  <c r="L615" i="1"/>
  <c r="G613" i="1"/>
  <c r="J613" i="1"/>
  <c r="L613" i="1"/>
  <c r="G611" i="1"/>
  <c r="J611" i="1"/>
  <c r="L611" i="1"/>
  <c r="G609" i="1"/>
  <c r="J609" i="1"/>
  <c r="L609" i="1"/>
  <c r="G607" i="1"/>
  <c r="J607" i="1"/>
  <c r="L607" i="1"/>
  <c r="G605" i="1"/>
  <c r="J605" i="1"/>
  <c r="L605" i="1"/>
  <c r="G603" i="1"/>
  <c r="J603" i="1"/>
  <c r="L603" i="1"/>
  <c r="G601" i="1"/>
  <c r="J601" i="1"/>
  <c r="L601" i="1"/>
  <c r="G599" i="1"/>
  <c r="J599" i="1"/>
  <c r="L599" i="1"/>
  <c r="G597" i="1"/>
  <c r="J597" i="1"/>
  <c r="L597" i="1"/>
  <c r="G595" i="1"/>
  <c r="J595" i="1"/>
  <c r="L595" i="1"/>
  <c r="G593" i="1"/>
  <c r="J593" i="1"/>
  <c r="L593" i="1"/>
  <c r="G591" i="1"/>
  <c r="J591" i="1"/>
  <c r="L591" i="1"/>
  <c r="G589" i="1"/>
  <c r="J589" i="1"/>
  <c r="L589" i="1"/>
  <c r="G581" i="1"/>
  <c r="J581" i="1"/>
  <c r="G579" i="1"/>
  <c r="J579" i="1"/>
  <c r="L579" i="1"/>
  <c r="G577" i="1"/>
  <c r="J577" i="1"/>
  <c r="L577" i="1"/>
  <c r="G575" i="1"/>
  <c r="J575" i="1"/>
  <c r="L575" i="1"/>
  <c r="G573" i="1"/>
  <c r="J573" i="1"/>
  <c r="L573" i="1"/>
  <c r="G571" i="1"/>
  <c r="J571" i="1"/>
  <c r="L571" i="1"/>
  <c r="G569" i="1"/>
  <c r="J569" i="1"/>
  <c r="L569" i="1"/>
  <c r="G567" i="1"/>
  <c r="J567" i="1"/>
  <c r="L567" i="1"/>
  <c r="G565" i="1"/>
  <c r="J565" i="1"/>
  <c r="L565" i="1"/>
  <c r="G563" i="1"/>
  <c r="J563" i="1"/>
  <c r="L563" i="1"/>
  <c r="G561" i="1"/>
  <c r="J561" i="1"/>
  <c r="L561" i="1"/>
  <c r="G559" i="1"/>
  <c r="J559" i="1"/>
  <c r="L559" i="1"/>
  <c r="G557" i="1"/>
  <c r="J557" i="1"/>
  <c r="L557" i="1"/>
  <c r="L588" i="1"/>
  <c r="J588" i="1"/>
  <c r="L587" i="1"/>
  <c r="J587" i="1"/>
  <c r="L586" i="1"/>
  <c r="J586" i="1"/>
  <c r="L585" i="1"/>
  <c r="J585" i="1"/>
  <c r="L584" i="1"/>
  <c r="J584" i="1"/>
  <c r="L583" i="1"/>
  <c r="J583" i="1"/>
  <c r="L582" i="1"/>
  <c r="J582" i="1"/>
  <c r="L581" i="1"/>
  <c r="H581" i="1"/>
  <c r="G580" i="1"/>
  <c r="J580" i="1"/>
  <c r="L580" i="1"/>
  <c r="H579" i="1"/>
  <c r="G578" i="1"/>
  <c r="J578" i="1"/>
  <c r="L578" i="1"/>
  <c r="H577" i="1"/>
  <c r="G576" i="1"/>
  <c r="J576" i="1"/>
  <c r="L576" i="1"/>
  <c r="H575" i="1"/>
  <c r="G574" i="1"/>
  <c r="J574" i="1"/>
  <c r="L574" i="1"/>
  <c r="H573" i="1"/>
  <c r="G572" i="1"/>
  <c r="J572" i="1"/>
  <c r="L572" i="1"/>
  <c r="H571" i="1"/>
  <c r="G570" i="1"/>
  <c r="J570" i="1"/>
  <c r="L570" i="1"/>
  <c r="H569" i="1"/>
  <c r="G568" i="1"/>
  <c r="J568" i="1"/>
  <c r="L568" i="1"/>
  <c r="H567" i="1"/>
  <c r="G566" i="1"/>
  <c r="J566" i="1"/>
  <c r="L566" i="1"/>
  <c r="H565" i="1"/>
  <c r="G564" i="1"/>
  <c r="J564" i="1"/>
  <c r="L564" i="1"/>
  <c r="H563" i="1"/>
  <c r="G562" i="1"/>
  <c r="J562" i="1"/>
  <c r="L562" i="1"/>
  <c r="H561" i="1"/>
  <c r="G560" i="1"/>
  <c r="J560" i="1"/>
  <c r="L560" i="1"/>
  <c r="H559" i="1"/>
  <c r="G558" i="1"/>
  <c r="J558" i="1"/>
  <c r="L558" i="1"/>
  <c r="H557" i="1"/>
  <c r="G556" i="1"/>
  <c r="J556" i="1"/>
  <c r="L556" i="1"/>
  <c r="G555" i="1"/>
  <c r="J555" i="1"/>
  <c r="L555" i="1"/>
  <c r="H531" i="1"/>
  <c r="H532" i="1"/>
  <c r="H555" i="1"/>
  <c r="G554" i="1"/>
  <c r="J554" i="1"/>
  <c r="L554" i="1"/>
  <c r="G552" i="1"/>
  <c r="J552" i="1"/>
  <c r="L552" i="1"/>
  <c r="G550" i="1"/>
  <c r="J550" i="1"/>
  <c r="L550" i="1"/>
  <c r="G548" i="1"/>
  <c r="J548" i="1"/>
  <c r="L548" i="1"/>
  <c r="G546" i="1"/>
  <c r="J546" i="1"/>
  <c r="L546" i="1"/>
  <c r="G544" i="1"/>
  <c r="J544" i="1"/>
  <c r="L544" i="1"/>
  <c r="G542" i="1"/>
  <c r="J542" i="1"/>
  <c r="L542" i="1"/>
  <c r="G540" i="1"/>
  <c r="J540" i="1"/>
  <c r="L540" i="1"/>
  <c r="G538" i="1"/>
  <c r="J538" i="1"/>
  <c r="L538" i="1"/>
  <c r="G536" i="1"/>
  <c r="J536" i="1"/>
  <c r="L536" i="1"/>
  <c r="G534" i="1"/>
  <c r="J534" i="1"/>
  <c r="L534" i="1"/>
  <c r="G553" i="1"/>
  <c r="J553" i="1"/>
  <c r="L553" i="1"/>
  <c r="G551" i="1"/>
  <c r="J551" i="1"/>
  <c r="L551" i="1"/>
  <c r="G549" i="1"/>
  <c r="J549" i="1"/>
  <c r="L549" i="1"/>
  <c r="G547" i="1"/>
  <c r="J547" i="1"/>
  <c r="L547" i="1"/>
  <c r="G545" i="1"/>
  <c r="J545" i="1"/>
  <c r="L545" i="1"/>
  <c r="G543" i="1"/>
  <c r="J543" i="1"/>
  <c r="L543" i="1"/>
  <c r="G541" i="1"/>
  <c r="J541" i="1"/>
  <c r="L541" i="1"/>
  <c r="G539" i="1"/>
  <c r="J539" i="1"/>
  <c r="L539" i="1"/>
  <c r="G537" i="1"/>
  <c r="J537" i="1"/>
  <c r="L537" i="1"/>
  <c r="G535" i="1"/>
  <c r="J535" i="1"/>
  <c r="L535" i="1"/>
  <c r="G533" i="1"/>
  <c r="J533" i="1"/>
  <c r="L533" i="1"/>
  <c r="L532" i="1"/>
  <c r="J532" i="1"/>
  <c r="L531" i="1"/>
  <c r="J531" i="1"/>
  <c r="L530" i="1"/>
  <c r="J530" i="1"/>
  <c r="L529" i="1"/>
  <c r="J529" i="1"/>
  <c r="H501" i="1"/>
  <c r="H529" i="1"/>
  <c r="G528" i="1"/>
  <c r="J528" i="1"/>
  <c r="L528" i="1"/>
  <c r="G526" i="1"/>
  <c r="J526" i="1"/>
  <c r="L526" i="1"/>
  <c r="G524" i="1"/>
  <c r="J524" i="1"/>
  <c r="L524" i="1"/>
  <c r="G522" i="1"/>
  <c r="J522" i="1"/>
  <c r="L522" i="1"/>
  <c r="G520" i="1"/>
  <c r="J520" i="1"/>
  <c r="L520" i="1"/>
  <c r="G518" i="1"/>
  <c r="J518" i="1"/>
  <c r="L518" i="1"/>
  <c r="G516" i="1"/>
  <c r="J516" i="1"/>
  <c r="L516" i="1"/>
  <c r="G514" i="1"/>
  <c r="J514" i="1"/>
  <c r="L514" i="1"/>
  <c r="G512" i="1"/>
  <c r="J512" i="1"/>
  <c r="L512" i="1"/>
  <c r="G510" i="1"/>
  <c r="J510" i="1"/>
  <c r="L510" i="1"/>
  <c r="G508" i="1"/>
  <c r="J508" i="1"/>
  <c r="L508" i="1"/>
  <c r="G506" i="1"/>
  <c r="J506" i="1"/>
  <c r="L506" i="1"/>
  <c r="G504" i="1"/>
  <c r="J504" i="1"/>
  <c r="L504" i="1"/>
  <c r="G502" i="1"/>
  <c r="J502" i="1"/>
  <c r="L502" i="1"/>
  <c r="G527" i="1"/>
  <c r="J527" i="1"/>
  <c r="L527" i="1"/>
  <c r="G525" i="1"/>
  <c r="J525" i="1"/>
  <c r="L525" i="1"/>
  <c r="G523" i="1"/>
  <c r="J523" i="1"/>
  <c r="L523" i="1"/>
  <c r="G521" i="1"/>
  <c r="J521" i="1"/>
  <c r="L521" i="1"/>
  <c r="G519" i="1"/>
  <c r="J519" i="1"/>
  <c r="L519" i="1"/>
  <c r="G517" i="1"/>
  <c r="J517" i="1"/>
  <c r="L517" i="1"/>
  <c r="G515" i="1"/>
  <c r="J515" i="1"/>
  <c r="L515" i="1"/>
  <c r="G513" i="1"/>
  <c r="J513" i="1"/>
  <c r="L513" i="1"/>
  <c r="G511" i="1"/>
  <c r="J511" i="1"/>
  <c r="L511" i="1"/>
  <c r="G509" i="1"/>
  <c r="J509" i="1"/>
  <c r="L509" i="1"/>
  <c r="G507" i="1"/>
  <c r="J507" i="1"/>
  <c r="L507" i="1"/>
  <c r="G505" i="1"/>
  <c r="J505" i="1"/>
  <c r="L505" i="1"/>
  <c r="G503" i="1"/>
  <c r="J503" i="1"/>
  <c r="L503" i="1"/>
  <c r="H502" i="1"/>
  <c r="L501" i="1"/>
  <c r="J501" i="1"/>
  <c r="L222" i="9"/>
  <c r="L57" i="9"/>
  <c r="K77" i="9"/>
  <c r="L77" i="9" s="1"/>
  <c r="K87" i="9"/>
  <c r="L87" i="9" s="1"/>
  <c r="L120" i="9"/>
  <c r="L130" i="9"/>
  <c r="L165" i="9"/>
  <c r="L185" i="9"/>
  <c r="L192" i="9"/>
  <c r="K198" i="9"/>
  <c r="L198" i="9" s="1"/>
  <c r="K200" i="9"/>
  <c r="L200" i="9" s="1"/>
  <c r="L202" i="9"/>
  <c r="K208" i="9"/>
  <c r="L208" i="9" s="1"/>
  <c r="K210" i="9"/>
  <c r="L210" i="9" s="1"/>
  <c r="L212" i="9"/>
  <c r="K218" i="9"/>
  <c r="L218" i="9" s="1"/>
  <c r="K220" i="9"/>
  <c r="L220" i="9" s="1"/>
  <c r="K228" i="9"/>
  <c r="L228" i="9" s="1"/>
  <c r="K230" i="9"/>
  <c r="L230" i="9" s="1"/>
  <c r="L232" i="9"/>
  <c r="K238" i="9"/>
  <c r="L238" i="9" s="1"/>
  <c r="K240" i="9"/>
  <c r="L240" i="9" s="1"/>
  <c r="L242" i="9"/>
  <c r="K248" i="9"/>
  <c r="L248" i="9" s="1"/>
  <c r="K250" i="9"/>
  <c r="L250" i="9" s="1"/>
  <c r="L252" i="9"/>
  <c r="K258" i="9"/>
  <c r="L258" i="9" s="1"/>
  <c r="K260" i="9"/>
  <c r="L260" i="9" s="1"/>
  <c r="K268" i="9"/>
  <c r="L268" i="9" s="1"/>
  <c r="K270" i="9"/>
  <c r="L270" i="9" s="1"/>
  <c r="L272" i="9"/>
  <c r="K278" i="9"/>
  <c r="L278" i="9" s="1"/>
  <c r="K280" i="9"/>
  <c r="L280" i="9" s="1"/>
  <c r="L282" i="9"/>
  <c r="K288" i="9"/>
  <c r="L288" i="9" s="1"/>
  <c r="K290" i="9"/>
  <c r="L290" i="9" s="1"/>
  <c r="L292" i="9"/>
  <c r="K298" i="9"/>
  <c r="L298" i="9" s="1"/>
  <c r="K300" i="9"/>
  <c r="L300" i="9" s="1"/>
  <c r="L302" i="9"/>
  <c r="K308" i="9"/>
  <c r="L308" i="9" s="1"/>
  <c r="K313" i="9"/>
  <c r="L313" i="9" s="1"/>
  <c r="K315" i="9"/>
  <c r="L315" i="9" s="1"/>
  <c r="L317" i="9"/>
  <c r="K323" i="9"/>
  <c r="L323" i="9" s="1"/>
  <c r="K325" i="9"/>
  <c r="L325" i="9" s="1"/>
  <c r="L327" i="9"/>
  <c r="L112" i="9"/>
  <c r="L122" i="9"/>
  <c r="L132" i="9"/>
  <c r="L142" i="9"/>
  <c r="L157" i="9"/>
  <c r="L167" i="9"/>
  <c r="L177" i="9"/>
  <c r="L187" i="9"/>
  <c r="K193" i="9"/>
  <c r="L193" i="9" s="1"/>
  <c r="K195" i="9"/>
  <c r="L195" i="9" s="1"/>
  <c r="K197" i="9"/>
  <c r="L197" i="9" s="1"/>
  <c r="K203" i="9"/>
  <c r="L203" i="9" s="1"/>
  <c r="K205" i="9"/>
  <c r="L205" i="9" s="1"/>
  <c r="K207" i="9"/>
  <c r="L207" i="9" s="1"/>
  <c r="K213" i="9"/>
  <c r="L213" i="9" s="1"/>
  <c r="K215" i="9"/>
  <c r="L215" i="9" s="1"/>
  <c r="K217" i="9"/>
  <c r="L217" i="9" s="1"/>
  <c r="K223" i="9"/>
  <c r="L223" i="9" s="1"/>
  <c r="K225" i="9"/>
  <c r="L225" i="9" s="1"/>
  <c r="K227" i="9"/>
  <c r="L227" i="9" s="1"/>
  <c r="K233" i="9"/>
  <c r="L233" i="9" s="1"/>
  <c r="K235" i="9"/>
  <c r="L235" i="9" s="1"/>
  <c r="K237" i="9"/>
  <c r="L237" i="9" s="1"/>
  <c r="K243" i="9"/>
  <c r="L243" i="9" s="1"/>
  <c r="K245" i="9"/>
  <c r="L245" i="9" s="1"/>
  <c r="K247" i="9"/>
  <c r="L247" i="9" s="1"/>
  <c r="K253" i="9"/>
  <c r="L253" i="9" s="1"/>
  <c r="K255" i="9"/>
  <c r="L255" i="9" s="1"/>
  <c r="K257" i="9"/>
  <c r="L257" i="9" s="1"/>
  <c r="L262" i="9"/>
  <c r="L97" i="9"/>
  <c r="L108" i="9"/>
  <c r="L110" i="9"/>
  <c r="L118" i="9"/>
  <c r="L128" i="9"/>
  <c r="L138" i="9"/>
  <c r="L140" i="9"/>
  <c r="L148" i="9"/>
  <c r="L153" i="9"/>
  <c r="L155" i="9"/>
  <c r="L163" i="9"/>
  <c r="L173" i="9"/>
  <c r="L175" i="9"/>
  <c r="L183" i="9"/>
  <c r="K263" i="9"/>
  <c r="L263" i="9" s="1"/>
  <c r="K265" i="9"/>
  <c r="L265" i="9" s="1"/>
  <c r="K267" i="9"/>
  <c r="L267" i="9" s="1"/>
  <c r="K273" i="9"/>
  <c r="L273" i="9" s="1"/>
  <c r="K275" i="9"/>
  <c r="L275" i="9" s="1"/>
  <c r="K277" i="9"/>
  <c r="L277" i="9" s="1"/>
  <c r="K283" i="9"/>
  <c r="L283" i="9" s="1"/>
  <c r="K285" i="9"/>
  <c r="L285" i="9" s="1"/>
  <c r="K287" i="9"/>
  <c r="L287" i="9" s="1"/>
  <c r="K293" i="9"/>
  <c r="L293" i="9" s="1"/>
  <c r="K295" i="9"/>
  <c r="L295" i="9" s="1"/>
  <c r="K297" i="9"/>
  <c r="L297" i="9" s="1"/>
  <c r="K303" i="9"/>
  <c r="L303" i="9" s="1"/>
  <c r="K305" i="9"/>
  <c r="L305" i="9" s="1"/>
  <c r="K307" i="9"/>
  <c r="L307" i="9" s="1"/>
  <c r="K310" i="9"/>
  <c r="L310" i="9" s="1"/>
  <c r="K312" i="9"/>
  <c r="L312" i="9" s="1"/>
  <c r="K318" i="9"/>
  <c r="L318" i="9" s="1"/>
  <c r="K320" i="9"/>
  <c r="L320" i="9" s="1"/>
  <c r="K322" i="9"/>
  <c r="L322" i="9" s="1"/>
  <c r="K328" i="9"/>
  <c r="L328" i="9" s="1"/>
  <c r="K330" i="9"/>
  <c r="L330" i="9" s="1"/>
  <c r="L73" i="9"/>
  <c r="L75" i="9"/>
  <c r="L83" i="9"/>
  <c r="L85" i="9"/>
  <c r="L93" i="9"/>
  <c r="L95" i="9"/>
  <c r="L102" i="9"/>
  <c r="K105" i="9"/>
  <c r="L105" i="9" s="1"/>
  <c r="K107" i="9"/>
  <c r="L107" i="9" s="1"/>
  <c r="K113" i="9"/>
  <c r="L113" i="9" s="1"/>
  <c r="K115" i="9"/>
  <c r="L115" i="9" s="1"/>
  <c r="K117" i="9"/>
  <c r="L117" i="9" s="1"/>
  <c r="K123" i="9"/>
  <c r="L123" i="9" s="1"/>
  <c r="K125" i="9"/>
  <c r="L125" i="9" s="1"/>
  <c r="K127" i="9"/>
  <c r="L127" i="9" s="1"/>
  <c r="K133" i="9"/>
  <c r="L133" i="9" s="1"/>
  <c r="K135" i="9"/>
  <c r="L135" i="9" s="1"/>
  <c r="K137" i="9"/>
  <c r="L137" i="9" s="1"/>
  <c r="K143" i="9"/>
  <c r="L143" i="9" s="1"/>
  <c r="K145" i="9"/>
  <c r="L145" i="9" s="1"/>
  <c r="K147" i="9"/>
  <c r="L147" i="9" s="1"/>
  <c r="K150" i="9"/>
  <c r="L150" i="9" s="1"/>
  <c r="K152" i="9"/>
  <c r="L152" i="9" s="1"/>
  <c r="K158" i="9"/>
  <c r="L158" i="9" s="1"/>
  <c r="K160" i="9"/>
  <c r="L160" i="9" s="1"/>
  <c r="K162" i="9"/>
  <c r="L162" i="9" s="1"/>
  <c r="K168" i="9"/>
  <c r="L168" i="9" s="1"/>
  <c r="K170" i="9"/>
  <c r="L170" i="9" s="1"/>
  <c r="K172" i="9"/>
  <c r="L172" i="9" s="1"/>
  <c r="K178" i="9"/>
  <c r="L178" i="9" s="1"/>
  <c r="K180" i="9"/>
  <c r="L180" i="9" s="1"/>
  <c r="K182" i="9"/>
  <c r="L182" i="9" s="1"/>
  <c r="K188" i="9"/>
  <c r="L188" i="9" s="1"/>
  <c r="K190" i="9"/>
  <c r="L190" i="9" s="1"/>
  <c r="L63" i="9"/>
  <c r="L65" i="9"/>
  <c r="K72" i="9"/>
  <c r="L72" i="9" s="1"/>
  <c r="K78" i="9"/>
  <c r="L78" i="9" s="1"/>
  <c r="K80" i="9"/>
  <c r="L80" i="9" s="1"/>
  <c r="K82" i="9"/>
  <c r="L82" i="9" s="1"/>
  <c r="K88" i="9"/>
  <c r="L88" i="9" s="1"/>
  <c r="K90" i="9"/>
  <c r="L90" i="9" s="1"/>
  <c r="K92" i="9"/>
  <c r="L92" i="9" s="1"/>
  <c r="K98" i="9"/>
  <c r="L98" i="9" s="1"/>
  <c r="K100" i="9"/>
  <c r="L100" i="9" s="1"/>
  <c r="L67" i="9"/>
  <c r="K62" i="9"/>
  <c r="L62" i="9" s="1"/>
  <c r="K68" i="9"/>
  <c r="L68" i="9" s="1"/>
  <c r="K70" i="9"/>
  <c r="L70" i="9" s="1"/>
  <c r="K58" i="9"/>
  <c r="L58" i="9" s="1"/>
  <c r="K60" i="9"/>
  <c r="L60" i="9" s="1"/>
  <c r="L52" i="9"/>
  <c r="L47" i="9"/>
  <c r="K53" i="9"/>
  <c r="L53" i="9" s="1"/>
  <c r="K55" i="9"/>
  <c r="L55" i="9" s="1"/>
  <c r="L42" i="9"/>
  <c r="K48" i="9"/>
  <c r="L48" i="9" s="1"/>
  <c r="K50" i="9"/>
  <c r="L50" i="9" s="1"/>
  <c r="K43" i="9"/>
  <c r="L43" i="9" s="1"/>
  <c r="K45" i="9"/>
  <c r="L45" i="9" s="1"/>
  <c r="L37" i="9"/>
  <c r="K38" i="9"/>
  <c r="L38" i="9" s="1"/>
  <c r="K40" i="9"/>
  <c r="L40" i="9" s="1"/>
  <c r="H312" i="1"/>
  <c r="H308" i="1"/>
  <c r="H310" i="1"/>
  <c r="H313" i="1"/>
  <c r="H311" i="1"/>
  <c r="H309" i="1"/>
  <c r="H307" i="1"/>
  <c r="L313" i="1"/>
  <c r="J313" i="1"/>
  <c r="L312" i="1"/>
  <c r="J312" i="1"/>
  <c r="L311" i="1"/>
  <c r="J311" i="1"/>
  <c r="L310" i="1"/>
  <c r="J310" i="1"/>
  <c r="L309" i="1"/>
  <c r="J309" i="1"/>
  <c r="L308" i="1"/>
  <c r="J308" i="1"/>
  <c r="L307" i="1"/>
  <c r="J307" i="1"/>
  <c r="L306" i="1"/>
  <c r="H444" i="1"/>
  <c r="H450" i="1"/>
  <c r="H448" i="1"/>
  <c r="H446" i="1"/>
  <c r="H445" i="1"/>
  <c r="H449" i="1"/>
  <c r="H447" i="1"/>
  <c r="H451" i="1"/>
  <c r="L450" i="1"/>
  <c r="J450" i="1"/>
  <c r="L449" i="1"/>
  <c r="J449" i="1"/>
  <c r="L448" i="1"/>
  <c r="J448" i="1"/>
  <c r="L447" i="1"/>
  <c r="J447" i="1"/>
  <c r="L446" i="1"/>
  <c r="J446" i="1"/>
  <c r="L445" i="1"/>
  <c r="J445" i="1"/>
  <c r="L444" i="1"/>
  <c r="J444" i="1"/>
  <c r="H232" i="1"/>
  <c r="H459" i="1"/>
  <c r="G442" i="1"/>
  <c r="J442" i="1"/>
  <c r="L442" i="1"/>
  <c r="G440" i="1"/>
  <c r="J440" i="1"/>
  <c r="L440" i="1"/>
  <c r="G438" i="1"/>
  <c r="J438" i="1"/>
  <c r="L438" i="1"/>
  <c r="G436" i="1"/>
  <c r="J436" i="1"/>
  <c r="L436" i="1"/>
  <c r="G434" i="1"/>
  <c r="J434" i="1"/>
  <c r="L434" i="1"/>
  <c r="G432" i="1"/>
  <c r="J432" i="1"/>
  <c r="L432" i="1"/>
  <c r="G430" i="1"/>
  <c r="J430" i="1"/>
  <c r="L430" i="1"/>
  <c r="G428" i="1"/>
  <c r="J428" i="1"/>
  <c r="L428" i="1"/>
  <c r="G426" i="1"/>
  <c r="J426" i="1"/>
  <c r="L426" i="1"/>
  <c r="G424" i="1"/>
  <c r="J424" i="1"/>
  <c r="L424" i="1"/>
  <c r="G422" i="1"/>
  <c r="J422" i="1"/>
  <c r="L422" i="1"/>
  <c r="G420" i="1"/>
  <c r="J420" i="1"/>
  <c r="L420" i="1"/>
  <c r="G418" i="1"/>
  <c r="J418" i="1"/>
  <c r="L418" i="1"/>
  <c r="G416" i="1"/>
  <c r="J416" i="1"/>
  <c r="L416" i="1"/>
  <c r="G414" i="1"/>
  <c r="J414" i="1"/>
  <c r="L414" i="1"/>
  <c r="G412" i="1"/>
  <c r="J412" i="1"/>
  <c r="L412" i="1"/>
  <c r="G410" i="1"/>
  <c r="J410" i="1"/>
  <c r="L410" i="1"/>
  <c r="G408" i="1"/>
  <c r="J408" i="1"/>
  <c r="L408" i="1"/>
  <c r="G406" i="1"/>
  <c r="J406" i="1"/>
  <c r="L406" i="1"/>
  <c r="G404" i="1"/>
  <c r="J404" i="1"/>
  <c r="L404" i="1"/>
  <c r="G402" i="1"/>
  <c r="J402" i="1"/>
  <c r="L402" i="1"/>
  <c r="G400" i="1"/>
  <c r="J400" i="1"/>
  <c r="L400" i="1"/>
  <c r="G398" i="1"/>
  <c r="J398" i="1"/>
  <c r="L398" i="1"/>
  <c r="G396" i="1"/>
  <c r="J396" i="1"/>
  <c r="L396" i="1"/>
  <c r="G443" i="1"/>
  <c r="J443" i="1"/>
  <c r="L443" i="1"/>
  <c r="G441" i="1"/>
  <c r="J441" i="1"/>
  <c r="L441" i="1"/>
  <c r="G439" i="1"/>
  <c r="J439" i="1"/>
  <c r="L439" i="1"/>
  <c r="G437" i="1"/>
  <c r="J437" i="1"/>
  <c r="L437" i="1"/>
  <c r="G435" i="1"/>
  <c r="J435" i="1"/>
  <c r="L435" i="1"/>
  <c r="G433" i="1"/>
  <c r="J433" i="1"/>
  <c r="L433" i="1"/>
  <c r="G431" i="1"/>
  <c r="J431" i="1"/>
  <c r="L431" i="1"/>
  <c r="G429" i="1"/>
  <c r="J429" i="1"/>
  <c r="L429" i="1"/>
  <c r="G427" i="1"/>
  <c r="J427" i="1"/>
  <c r="L427" i="1"/>
  <c r="G425" i="1"/>
  <c r="J425" i="1"/>
  <c r="L425" i="1"/>
  <c r="G423" i="1"/>
  <c r="J423" i="1"/>
  <c r="L423" i="1"/>
  <c r="G421" i="1"/>
  <c r="J421" i="1"/>
  <c r="L421" i="1"/>
  <c r="G419" i="1"/>
  <c r="J419" i="1"/>
  <c r="L419" i="1"/>
  <c r="G417" i="1"/>
  <c r="J417" i="1"/>
  <c r="L417" i="1"/>
  <c r="G415" i="1"/>
  <c r="J415" i="1"/>
  <c r="L415" i="1"/>
  <c r="G413" i="1"/>
  <c r="J413" i="1"/>
  <c r="L413" i="1"/>
  <c r="G411" i="1"/>
  <c r="J411" i="1"/>
  <c r="L411" i="1"/>
  <c r="G409" i="1"/>
  <c r="J409" i="1"/>
  <c r="L409" i="1"/>
  <c r="G407" i="1"/>
  <c r="J407" i="1"/>
  <c r="L407" i="1"/>
  <c r="G405" i="1"/>
  <c r="J405" i="1"/>
  <c r="L405" i="1"/>
  <c r="G403" i="1"/>
  <c r="J403" i="1"/>
  <c r="L403" i="1"/>
  <c r="G401" i="1"/>
  <c r="J401" i="1"/>
  <c r="L401" i="1"/>
  <c r="G399" i="1"/>
  <c r="J399" i="1"/>
  <c r="L399" i="1"/>
  <c r="G397" i="1"/>
  <c r="J397" i="1"/>
  <c r="L397" i="1"/>
  <c r="G395" i="1"/>
  <c r="J395" i="1"/>
  <c r="L395" i="1"/>
  <c r="H394" i="1"/>
  <c r="L394" i="1"/>
  <c r="G306" i="1"/>
  <c r="J306" i="1"/>
  <c r="G304" i="1"/>
  <c r="J304" i="1"/>
  <c r="L304" i="1"/>
  <c r="G302" i="1"/>
  <c r="J302" i="1"/>
  <c r="L302" i="1"/>
  <c r="G300" i="1"/>
  <c r="J300" i="1"/>
  <c r="L300" i="1"/>
  <c r="G298" i="1"/>
  <c r="J298" i="1"/>
  <c r="L298" i="1"/>
  <c r="G296" i="1"/>
  <c r="J296" i="1"/>
  <c r="L296" i="1"/>
  <c r="G294" i="1"/>
  <c r="J294" i="1"/>
  <c r="L294" i="1"/>
  <c r="G292" i="1"/>
  <c r="J292" i="1"/>
  <c r="L292" i="1"/>
  <c r="G290" i="1"/>
  <c r="J290" i="1"/>
  <c r="L290" i="1"/>
  <c r="G288" i="1"/>
  <c r="J288" i="1"/>
  <c r="L288" i="1"/>
  <c r="G286" i="1"/>
  <c r="J286" i="1"/>
  <c r="L286" i="1"/>
  <c r="G284" i="1"/>
  <c r="J284" i="1"/>
  <c r="L284" i="1"/>
  <c r="G282" i="1"/>
  <c r="J282" i="1"/>
  <c r="L282" i="1"/>
  <c r="H281" i="1"/>
  <c r="L281" i="1"/>
  <c r="L257" i="1"/>
  <c r="G234" i="1"/>
  <c r="H234" i="1"/>
  <c r="G305" i="1"/>
  <c r="J305" i="1"/>
  <c r="L305" i="1"/>
  <c r="G303" i="1"/>
  <c r="J303" i="1"/>
  <c r="L303" i="1"/>
  <c r="G301" i="1"/>
  <c r="J301" i="1"/>
  <c r="L301" i="1"/>
  <c r="G299" i="1"/>
  <c r="J299" i="1"/>
  <c r="L299" i="1"/>
  <c r="G297" i="1"/>
  <c r="J297" i="1"/>
  <c r="L297" i="1"/>
  <c r="G295" i="1"/>
  <c r="J295" i="1"/>
  <c r="L295" i="1"/>
  <c r="G293" i="1"/>
  <c r="J293" i="1"/>
  <c r="L293" i="1"/>
  <c r="G291" i="1"/>
  <c r="J291" i="1"/>
  <c r="L291" i="1"/>
  <c r="G289" i="1"/>
  <c r="J289" i="1"/>
  <c r="L289" i="1"/>
  <c r="G287" i="1"/>
  <c r="J287" i="1"/>
  <c r="L287" i="1"/>
  <c r="G285" i="1"/>
  <c r="J285" i="1"/>
  <c r="L285" i="1"/>
  <c r="G283" i="1"/>
  <c r="J283" i="1"/>
  <c r="L283" i="1"/>
  <c r="G257" i="1"/>
  <c r="H257" i="1"/>
  <c r="G230" i="1"/>
  <c r="H230" i="1"/>
  <c r="G229" i="1"/>
  <c r="J229" i="1"/>
  <c r="L229" i="1"/>
  <c r="H455" i="1"/>
  <c r="H235" i="1"/>
  <c r="H233" i="1"/>
  <c r="H231" i="1"/>
  <c r="G280" i="1"/>
  <c r="J280" i="1"/>
  <c r="L280" i="1"/>
  <c r="G278" i="1"/>
  <c r="J278" i="1"/>
  <c r="L278" i="1"/>
  <c r="G276" i="1"/>
  <c r="J276" i="1"/>
  <c r="L276" i="1"/>
  <c r="G274" i="1"/>
  <c r="J274" i="1"/>
  <c r="L274" i="1"/>
  <c r="G272" i="1"/>
  <c r="J272" i="1"/>
  <c r="L272" i="1"/>
  <c r="G270" i="1"/>
  <c r="J270" i="1"/>
  <c r="L270" i="1"/>
  <c r="G268" i="1"/>
  <c r="J268" i="1"/>
  <c r="L268" i="1"/>
  <c r="G266" i="1"/>
  <c r="J266" i="1"/>
  <c r="L266" i="1"/>
  <c r="G264" i="1"/>
  <c r="J264" i="1"/>
  <c r="L264" i="1"/>
  <c r="G262" i="1"/>
  <c r="J262" i="1"/>
  <c r="L262" i="1"/>
  <c r="G260" i="1"/>
  <c r="J260" i="1"/>
  <c r="L260" i="1"/>
  <c r="G258" i="1"/>
  <c r="J258" i="1"/>
  <c r="L258" i="1"/>
  <c r="H462" i="1"/>
  <c r="H457" i="1"/>
  <c r="H453" i="1"/>
  <c r="G281" i="1"/>
  <c r="J281" i="1"/>
  <c r="H280" i="1"/>
  <c r="G279" i="1"/>
  <c r="J279" i="1"/>
  <c r="L279" i="1"/>
  <c r="H278" i="1"/>
  <c r="G277" i="1"/>
  <c r="J277" i="1"/>
  <c r="L277" i="1"/>
  <c r="H276" i="1"/>
  <c r="G275" i="1"/>
  <c r="J275" i="1"/>
  <c r="L275" i="1"/>
  <c r="H274" i="1"/>
  <c r="G273" i="1"/>
  <c r="J273" i="1"/>
  <c r="L273" i="1"/>
  <c r="H272" i="1"/>
  <c r="G271" i="1"/>
  <c r="J271" i="1"/>
  <c r="L271" i="1"/>
  <c r="H270" i="1"/>
  <c r="G269" i="1"/>
  <c r="J269" i="1"/>
  <c r="L269" i="1"/>
  <c r="H268" i="1"/>
  <c r="G267" i="1"/>
  <c r="J267" i="1"/>
  <c r="L267" i="1"/>
  <c r="H266" i="1"/>
  <c r="G265" i="1"/>
  <c r="J265" i="1"/>
  <c r="L265" i="1"/>
  <c r="H264" i="1"/>
  <c r="G263" i="1"/>
  <c r="J263" i="1"/>
  <c r="L263" i="1"/>
  <c r="H262" i="1"/>
  <c r="G261" i="1"/>
  <c r="J261" i="1"/>
  <c r="L261" i="1"/>
  <c r="H260" i="1"/>
  <c r="G259" i="1"/>
  <c r="J259" i="1"/>
  <c r="L259" i="1"/>
  <c r="H258" i="1"/>
  <c r="G255" i="1"/>
  <c r="J255" i="1"/>
  <c r="L255" i="1"/>
  <c r="G253" i="1"/>
  <c r="J253" i="1"/>
  <c r="L253" i="1"/>
  <c r="G251" i="1"/>
  <c r="J251" i="1"/>
  <c r="L251" i="1"/>
  <c r="G249" i="1"/>
  <c r="J249" i="1"/>
  <c r="L249" i="1"/>
  <c r="G247" i="1"/>
  <c r="J247" i="1"/>
  <c r="L247" i="1"/>
  <c r="G245" i="1"/>
  <c r="J245" i="1"/>
  <c r="L245" i="1"/>
  <c r="G243" i="1"/>
  <c r="J243" i="1"/>
  <c r="L243" i="1"/>
  <c r="G241" i="1"/>
  <c r="J241" i="1"/>
  <c r="L241" i="1"/>
  <c r="G239" i="1"/>
  <c r="J239" i="1"/>
  <c r="L239" i="1"/>
  <c r="G237" i="1"/>
  <c r="J237" i="1"/>
  <c r="L237" i="1"/>
  <c r="G256" i="1"/>
  <c r="J256" i="1"/>
  <c r="L256" i="1"/>
  <c r="G254" i="1"/>
  <c r="J254" i="1"/>
  <c r="L254" i="1"/>
  <c r="G252" i="1"/>
  <c r="J252" i="1"/>
  <c r="L252" i="1"/>
  <c r="G250" i="1"/>
  <c r="J250" i="1"/>
  <c r="L250" i="1"/>
  <c r="G248" i="1"/>
  <c r="J248" i="1"/>
  <c r="L248" i="1"/>
  <c r="G246" i="1"/>
  <c r="J246" i="1"/>
  <c r="L246" i="1"/>
  <c r="G244" i="1"/>
  <c r="J244" i="1"/>
  <c r="L244" i="1"/>
  <c r="G242" i="1"/>
  <c r="J242" i="1"/>
  <c r="L242" i="1"/>
  <c r="G240" i="1"/>
  <c r="J240" i="1"/>
  <c r="L240" i="1"/>
  <c r="G238" i="1"/>
  <c r="J238" i="1"/>
  <c r="L238" i="1"/>
  <c r="G236" i="1"/>
  <c r="J236" i="1"/>
  <c r="L236" i="1"/>
  <c r="L235" i="1"/>
  <c r="J235" i="1"/>
  <c r="L234" i="1"/>
  <c r="J234" i="1"/>
  <c r="L233" i="1"/>
  <c r="J233" i="1"/>
  <c r="L232" i="1"/>
  <c r="J232" i="1"/>
  <c r="L231" i="1"/>
  <c r="J231" i="1"/>
  <c r="L230" i="1"/>
  <c r="J230" i="1"/>
  <c r="G458" i="1"/>
  <c r="H458" i="1"/>
  <c r="G454" i="1"/>
  <c r="H454" i="1"/>
  <c r="G492" i="1"/>
  <c r="H492" i="1"/>
  <c r="G460" i="1"/>
  <c r="H460" i="1"/>
  <c r="G456" i="1"/>
  <c r="H456" i="1"/>
  <c r="G452" i="1"/>
  <c r="H452" i="1"/>
  <c r="H201" i="1"/>
  <c r="H500" i="1"/>
  <c r="H498" i="1"/>
  <c r="H496" i="1"/>
  <c r="H494" i="1"/>
  <c r="H493" i="1"/>
  <c r="H490" i="1"/>
  <c r="H489" i="1"/>
  <c r="H487" i="1"/>
  <c r="H485" i="1"/>
  <c r="H483" i="1"/>
  <c r="H481" i="1"/>
  <c r="H479" i="1"/>
  <c r="H477" i="1"/>
  <c r="H475" i="1"/>
  <c r="H472" i="1"/>
  <c r="H471" i="1"/>
  <c r="H469" i="1"/>
  <c r="H467" i="1"/>
  <c r="H465" i="1"/>
  <c r="H463" i="1"/>
  <c r="L500" i="1"/>
  <c r="J500" i="1"/>
  <c r="L499" i="1"/>
  <c r="J499" i="1"/>
  <c r="G499" i="1"/>
  <c r="L498" i="1"/>
  <c r="J498" i="1"/>
  <c r="L497" i="1"/>
  <c r="J497" i="1"/>
  <c r="G497" i="1"/>
  <c r="L496" i="1"/>
  <c r="J496" i="1"/>
  <c r="L495" i="1"/>
  <c r="J495" i="1"/>
  <c r="G495" i="1"/>
  <c r="L494" i="1"/>
  <c r="J494" i="1"/>
  <c r="L493" i="1"/>
  <c r="J493" i="1"/>
  <c r="L492" i="1"/>
  <c r="J492" i="1"/>
  <c r="L491" i="1"/>
  <c r="J491" i="1"/>
  <c r="G491" i="1"/>
  <c r="L490" i="1"/>
  <c r="J490" i="1"/>
  <c r="L489" i="1"/>
  <c r="J489" i="1"/>
  <c r="L488" i="1"/>
  <c r="J488" i="1"/>
  <c r="G488" i="1"/>
  <c r="L487" i="1"/>
  <c r="J487" i="1"/>
  <c r="L486" i="1"/>
  <c r="J486" i="1"/>
  <c r="G486" i="1"/>
  <c r="L485" i="1"/>
  <c r="J485" i="1"/>
  <c r="L484" i="1"/>
  <c r="J484" i="1"/>
  <c r="G484" i="1"/>
  <c r="L483" i="1"/>
  <c r="J483" i="1"/>
  <c r="L482" i="1"/>
  <c r="J482" i="1"/>
  <c r="G482" i="1"/>
  <c r="L481" i="1"/>
  <c r="J481" i="1"/>
  <c r="L480" i="1"/>
  <c r="J480" i="1"/>
  <c r="G480" i="1"/>
  <c r="L479" i="1"/>
  <c r="J479" i="1"/>
  <c r="L478" i="1"/>
  <c r="J478" i="1"/>
  <c r="G478" i="1"/>
  <c r="L477" i="1"/>
  <c r="J477" i="1"/>
  <c r="L476" i="1"/>
  <c r="J476" i="1"/>
  <c r="G476" i="1"/>
  <c r="L475" i="1"/>
  <c r="J475" i="1"/>
  <c r="L474" i="1"/>
  <c r="J474" i="1"/>
  <c r="G474" i="1"/>
  <c r="L473" i="1"/>
  <c r="J473" i="1"/>
  <c r="G473" i="1"/>
  <c r="L472" i="1"/>
  <c r="J472" i="1"/>
  <c r="L471" i="1"/>
  <c r="J471" i="1"/>
  <c r="L470" i="1"/>
  <c r="J470" i="1"/>
  <c r="G470" i="1"/>
  <c r="L469" i="1"/>
  <c r="J469" i="1"/>
  <c r="L468" i="1"/>
  <c r="J468" i="1"/>
  <c r="G468" i="1"/>
  <c r="L467" i="1"/>
  <c r="J467" i="1"/>
  <c r="L466" i="1"/>
  <c r="J466" i="1"/>
  <c r="G466" i="1"/>
  <c r="L465" i="1"/>
  <c r="J465" i="1"/>
  <c r="L464" i="1"/>
  <c r="J464" i="1"/>
  <c r="G464" i="1"/>
  <c r="L463" i="1"/>
  <c r="J463" i="1"/>
  <c r="L462" i="1"/>
  <c r="J462" i="1"/>
  <c r="L461" i="1"/>
  <c r="J461" i="1"/>
  <c r="G461" i="1"/>
  <c r="L460" i="1"/>
  <c r="J460" i="1"/>
  <c r="L459" i="1"/>
  <c r="J459" i="1"/>
  <c r="L458" i="1"/>
  <c r="J458" i="1"/>
  <c r="L457" i="1"/>
  <c r="J457" i="1"/>
  <c r="L456" i="1"/>
  <c r="J456" i="1"/>
  <c r="L455" i="1"/>
  <c r="J455" i="1"/>
  <c r="L454" i="1"/>
  <c r="J454" i="1"/>
  <c r="L453" i="1"/>
  <c r="J453" i="1"/>
  <c r="L452" i="1"/>
  <c r="J452" i="1"/>
  <c r="L451" i="1"/>
  <c r="J451" i="1"/>
  <c r="G393" i="1"/>
  <c r="J393" i="1"/>
  <c r="L393" i="1"/>
  <c r="G391" i="1"/>
  <c r="J391" i="1"/>
  <c r="L391" i="1"/>
  <c r="G389" i="1"/>
  <c r="J389" i="1"/>
  <c r="L389" i="1"/>
  <c r="G387" i="1"/>
  <c r="J387" i="1"/>
  <c r="L387" i="1"/>
  <c r="G385" i="1"/>
  <c r="J385" i="1"/>
  <c r="L385" i="1"/>
  <c r="G383" i="1"/>
  <c r="J383" i="1"/>
  <c r="L383" i="1"/>
  <c r="G381" i="1"/>
  <c r="J381" i="1"/>
  <c r="L381" i="1"/>
  <c r="G379" i="1"/>
  <c r="J379" i="1"/>
  <c r="L379" i="1"/>
  <c r="G377" i="1"/>
  <c r="J377" i="1"/>
  <c r="L377" i="1"/>
  <c r="G375" i="1"/>
  <c r="J375" i="1"/>
  <c r="L375" i="1"/>
  <c r="G373" i="1"/>
  <c r="J373" i="1"/>
  <c r="L373" i="1"/>
  <c r="G371" i="1"/>
  <c r="J371" i="1"/>
  <c r="L371" i="1"/>
  <c r="G369" i="1"/>
  <c r="J369" i="1"/>
  <c r="L369" i="1"/>
  <c r="G367" i="1"/>
  <c r="J367" i="1"/>
  <c r="L367" i="1"/>
  <c r="G365" i="1"/>
  <c r="J365" i="1"/>
  <c r="L365" i="1"/>
  <c r="G363" i="1"/>
  <c r="J363" i="1"/>
  <c r="L363" i="1"/>
  <c r="G361" i="1"/>
  <c r="J361" i="1"/>
  <c r="L361" i="1"/>
  <c r="G359" i="1"/>
  <c r="J359" i="1"/>
  <c r="L359" i="1"/>
  <c r="G357" i="1"/>
  <c r="J357" i="1"/>
  <c r="L357" i="1"/>
  <c r="G355" i="1"/>
  <c r="J355" i="1"/>
  <c r="L355" i="1"/>
  <c r="G353" i="1"/>
  <c r="J353" i="1"/>
  <c r="L353" i="1"/>
  <c r="G351" i="1"/>
  <c r="J351" i="1"/>
  <c r="L351" i="1"/>
  <c r="G349" i="1"/>
  <c r="J349" i="1"/>
  <c r="L349" i="1"/>
  <c r="G347" i="1"/>
  <c r="J347" i="1"/>
  <c r="L347" i="1"/>
  <c r="G345" i="1"/>
  <c r="J345" i="1"/>
  <c r="L345" i="1"/>
  <c r="G343" i="1"/>
  <c r="J343" i="1"/>
  <c r="L343" i="1"/>
  <c r="G341" i="1"/>
  <c r="J341" i="1"/>
  <c r="L341" i="1"/>
  <c r="G337" i="1"/>
  <c r="J337" i="1"/>
  <c r="L337" i="1"/>
  <c r="H337" i="1"/>
  <c r="G394" i="1"/>
  <c r="J394" i="1"/>
  <c r="H393" i="1"/>
  <c r="G392" i="1"/>
  <c r="J392" i="1"/>
  <c r="L392" i="1"/>
  <c r="H391" i="1"/>
  <c r="G390" i="1"/>
  <c r="J390" i="1"/>
  <c r="L390" i="1"/>
  <c r="H389" i="1"/>
  <c r="G388" i="1"/>
  <c r="J388" i="1"/>
  <c r="L388" i="1"/>
  <c r="H387" i="1"/>
  <c r="G386" i="1"/>
  <c r="J386" i="1"/>
  <c r="L386" i="1"/>
  <c r="H385" i="1"/>
  <c r="G384" i="1"/>
  <c r="J384" i="1"/>
  <c r="L384" i="1"/>
  <c r="H383" i="1"/>
  <c r="G382" i="1"/>
  <c r="J382" i="1"/>
  <c r="L382" i="1"/>
  <c r="H381" i="1"/>
  <c r="G380" i="1"/>
  <c r="J380" i="1"/>
  <c r="L380" i="1"/>
  <c r="H379" i="1"/>
  <c r="G378" i="1"/>
  <c r="J378" i="1"/>
  <c r="L378" i="1"/>
  <c r="H377" i="1"/>
  <c r="G376" i="1"/>
  <c r="J376" i="1"/>
  <c r="L376" i="1"/>
  <c r="H375" i="1"/>
  <c r="G374" i="1"/>
  <c r="J374" i="1"/>
  <c r="L374" i="1"/>
  <c r="H373" i="1"/>
  <c r="G372" i="1"/>
  <c r="J372" i="1"/>
  <c r="L372" i="1"/>
  <c r="H371" i="1"/>
  <c r="G370" i="1"/>
  <c r="J370" i="1"/>
  <c r="L370" i="1"/>
  <c r="H369" i="1"/>
  <c r="G368" i="1"/>
  <c r="J368" i="1"/>
  <c r="L368" i="1"/>
  <c r="H367" i="1"/>
  <c r="G366" i="1"/>
  <c r="J366" i="1"/>
  <c r="L366" i="1"/>
  <c r="H365" i="1"/>
  <c r="G364" i="1"/>
  <c r="J364" i="1"/>
  <c r="L364" i="1"/>
  <c r="H363" i="1"/>
  <c r="G362" i="1"/>
  <c r="J362" i="1"/>
  <c r="L362" i="1"/>
  <c r="H361" i="1"/>
  <c r="G360" i="1"/>
  <c r="J360" i="1"/>
  <c r="L360" i="1"/>
  <c r="H359" i="1"/>
  <c r="G358" i="1"/>
  <c r="J358" i="1"/>
  <c r="L358" i="1"/>
  <c r="H357" i="1"/>
  <c r="G356" i="1"/>
  <c r="J356" i="1"/>
  <c r="L356" i="1"/>
  <c r="H355" i="1"/>
  <c r="G354" i="1"/>
  <c r="J354" i="1"/>
  <c r="L354" i="1"/>
  <c r="H353" i="1"/>
  <c r="G352" i="1"/>
  <c r="J352" i="1"/>
  <c r="L352" i="1"/>
  <c r="H351" i="1"/>
  <c r="G350" i="1"/>
  <c r="J350" i="1"/>
  <c r="L350" i="1"/>
  <c r="H349" i="1"/>
  <c r="G348" i="1"/>
  <c r="J348" i="1"/>
  <c r="L348" i="1"/>
  <c r="H347" i="1"/>
  <c r="G346" i="1"/>
  <c r="J346" i="1"/>
  <c r="L346" i="1"/>
  <c r="H345" i="1"/>
  <c r="G344" i="1"/>
  <c r="J344" i="1"/>
  <c r="L344" i="1"/>
  <c r="H343" i="1"/>
  <c r="G342" i="1"/>
  <c r="J342" i="1"/>
  <c r="L342" i="1"/>
  <c r="H341" i="1"/>
  <c r="G339" i="1"/>
  <c r="J339" i="1"/>
  <c r="L339" i="1"/>
  <c r="H339" i="1"/>
  <c r="G340" i="1"/>
  <c r="J340" i="1"/>
  <c r="L340" i="1"/>
  <c r="G338" i="1"/>
  <c r="J338" i="1"/>
  <c r="L338" i="1"/>
  <c r="G336" i="1"/>
  <c r="J336" i="1"/>
  <c r="L336" i="1"/>
  <c r="G334" i="1"/>
  <c r="J334" i="1"/>
  <c r="L334" i="1"/>
  <c r="G332" i="1"/>
  <c r="J332" i="1"/>
  <c r="L332" i="1"/>
  <c r="G330" i="1"/>
  <c r="J330" i="1"/>
  <c r="L330" i="1"/>
  <c r="G328" i="1"/>
  <c r="J328" i="1"/>
  <c r="L328" i="1"/>
  <c r="G326" i="1"/>
  <c r="J326" i="1"/>
  <c r="L326" i="1"/>
  <c r="G324" i="1"/>
  <c r="J324" i="1"/>
  <c r="L324" i="1"/>
  <c r="G322" i="1"/>
  <c r="J322" i="1"/>
  <c r="L322" i="1"/>
  <c r="G320" i="1"/>
  <c r="J320" i="1"/>
  <c r="L320" i="1"/>
  <c r="G318" i="1"/>
  <c r="J318" i="1"/>
  <c r="L318" i="1"/>
  <c r="G316" i="1"/>
  <c r="J316" i="1"/>
  <c r="L316" i="1"/>
  <c r="G314" i="1"/>
  <c r="J314" i="1"/>
  <c r="L314" i="1"/>
  <c r="G335" i="1"/>
  <c r="J335" i="1"/>
  <c r="L335" i="1"/>
  <c r="G333" i="1"/>
  <c r="J333" i="1"/>
  <c r="L333" i="1"/>
  <c r="G331" i="1"/>
  <c r="J331" i="1"/>
  <c r="L331" i="1"/>
  <c r="G329" i="1"/>
  <c r="J329" i="1"/>
  <c r="L329" i="1"/>
  <c r="H328" i="1"/>
  <c r="G327" i="1"/>
  <c r="J327" i="1"/>
  <c r="L327" i="1"/>
  <c r="H326" i="1"/>
  <c r="G325" i="1"/>
  <c r="J325" i="1"/>
  <c r="L325" i="1"/>
  <c r="H324" i="1"/>
  <c r="G323" i="1"/>
  <c r="J323" i="1"/>
  <c r="L323" i="1"/>
  <c r="H322" i="1"/>
  <c r="G321" i="1"/>
  <c r="J321" i="1"/>
  <c r="L321" i="1"/>
  <c r="H320" i="1"/>
  <c r="G319" i="1"/>
  <c r="J319" i="1"/>
  <c r="L319" i="1"/>
  <c r="H318" i="1"/>
  <c r="G317" i="1"/>
  <c r="J317" i="1"/>
  <c r="L317" i="1"/>
  <c r="H316" i="1"/>
  <c r="G315" i="1"/>
  <c r="J315" i="1"/>
  <c r="L315" i="1"/>
  <c r="H314" i="1"/>
  <c r="H229" i="1"/>
  <c r="G228" i="1"/>
  <c r="J228" i="1"/>
  <c r="L228" i="1"/>
  <c r="G226" i="1"/>
  <c r="J226" i="1"/>
  <c r="L226" i="1"/>
  <c r="G224" i="1"/>
  <c r="J224" i="1"/>
  <c r="L224" i="1"/>
  <c r="G222" i="1"/>
  <c r="J222" i="1"/>
  <c r="L222" i="1"/>
  <c r="G220" i="1"/>
  <c r="J220" i="1"/>
  <c r="L220" i="1"/>
  <c r="G218" i="1"/>
  <c r="J218" i="1"/>
  <c r="L218" i="1"/>
  <c r="G216" i="1"/>
  <c r="J216" i="1"/>
  <c r="L216" i="1"/>
  <c r="G214" i="1"/>
  <c r="J214" i="1"/>
  <c r="L214" i="1"/>
  <c r="G212" i="1"/>
  <c r="J212" i="1"/>
  <c r="L212" i="1"/>
  <c r="G210" i="1"/>
  <c r="J210" i="1"/>
  <c r="L210" i="1"/>
  <c r="G208" i="1"/>
  <c r="J208" i="1"/>
  <c r="L208" i="1"/>
  <c r="G206" i="1"/>
  <c r="J206" i="1"/>
  <c r="L206" i="1"/>
  <c r="G204" i="1"/>
  <c r="J204" i="1"/>
  <c r="L204" i="1"/>
  <c r="G202" i="1"/>
  <c r="J202" i="1"/>
  <c r="L202" i="1"/>
  <c r="G227" i="1"/>
  <c r="J227" i="1"/>
  <c r="L227" i="1"/>
  <c r="G225" i="1"/>
  <c r="J225" i="1"/>
  <c r="L225" i="1"/>
  <c r="G223" i="1"/>
  <c r="J223" i="1"/>
  <c r="L223" i="1"/>
  <c r="G221" i="1"/>
  <c r="J221" i="1"/>
  <c r="L221" i="1"/>
  <c r="G219" i="1"/>
  <c r="J219" i="1"/>
  <c r="L219" i="1"/>
  <c r="G217" i="1"/>
  <c r="J217" i="1"/>
  <c r="L217" i="1"/>
  <c r="G215" i="1"/>
  <c r="J215" i="1"/>
  <c r="L215" i="1"/>
  <c r="G213" i="1"/>
  <c r="J213" i="1"/>
  <c r="L213" i="1"/>
  <c r="G211" i="1"/>
  <c r="J211" i="1"/>
  <c r="L211" i="1"/>
  <c r="G209" i="1"/>
  <c r="J209" i="1"/>
  <c r="L209" i="1"/>
  <c r="G207" i="1"/>
  <c r="J207" i="1"/>
  <c r="L207" i="1"/>
  <c r="G205" i="1"/>
  <c r="J205" i="1"/>
  <c r="L205" i="1"/>
  <c r="G203" i="1"/>
  <c r="J203" i="1"/>
  <c r="L203" i="1"/>
  <c r="L201" i="1"/>
  <c r="J201" i="1"/>
  <c r="A6" i="11" l="1"/>
  <c r="A7" i="11" s="1"/>
  <c r="A8" i="11" s="1"/>
  <c r="A9" i="11" s="1"/>
  <c r="A10" i="11" s="1"/>
  <c r="A11" i="11" s="1"/>
  <c r="A12" i="11" s="1"/>
  <c r="A13" i="11" s="1"/>
  <c r="A14" i="11" s="1"/>
  <c r="A15" i="11" s="1"/>
  <c r="A16" i="11" s="1"/>
  <c r="A17" i="11" s="1"/>
  <c r="A18" i="11" s="1"/>
  <c r="A19" i="11" s="1"/>
  <c r="A20" i="11" s="1"/>
  <c r="A21" i="11" s="1"/>
  <c r="A22" i="11" s="1"/>
  <c r="A23" i="11" s="1"/>
  <c r="A24" i="11" s="1"/>
  <c r="A25" i="11" s="1"/>
  <c r="A26" i="11" s="1"/>
  <c r="A27" i="11" s="1"/>
  <c r="A28" i="11" s="1"/>
  <c r="A29" i="11" s="1"/>
  <c r="A30" i="11" s="1"/>
  <c r="A31" i="11" s="1"/>
  <c r="A32" i="11" s="1"/>
  <c r="A33" i="11" s="1"/>
  <c r="A34" i="11" s="1"/>
  <c r="A35" i="11" s="1"/>
  <c r="A36" i="11" s="1"/>
  <c r="A37" i="11" s="1"/>
  <c r="A38" i="11" s="1"/>
  <c r="A39" i="11" s="1"/>
  <c r="A40" i="11" s="1"/>
  <c r="A41" i="11" s="1"/>
  <c r="A42" i="11" s="1"/>
  <c r="A43" i="11" s="1"/>
  <c r="A44" i="11" s="1"/>
  <c r="A45" i="11" s="1"/>
  <c r="A46" i="11" s="1"/>
  <c r="A47" i="11" s="1"/>
  <c r="A48" i="11" s="1"/>
  <c r="A49" i="11" s="1"/>
  <c r="A50" i="11" s="1"/>
  <c r="A51" i="11" s="1"/>
  <c r="A52" i="11" s="1"/>
  <c r="A53" i="11" s="1"/>
  <c r="A54" i="11" s="1"/>
  <c r="A55" i="11" s="1"/>
  <c r="A56" i="11" s="1"/>
  <c r="A57" i="11" s="1"/>
  <c r="A58" i="11" s="1"/>
  <c r="A59" i="11" s="1"/>
  <c r="A60" i="11" s="1"/>
  <c r="A61" i="11" s="1"/>
  <c r="A62" i="11" s="1"/>
  <c r="A63" i="11" s="1"/>
  <c r="A64" i="11" s="1"/>
  <c r="A65" i="11" s="1"/>
  <c r="A66" i="11" s="1"/>
  <c r="K34" i="1"/>
  <c r="K35" i="1"/>
  <c r="K36" i="1"/>
  <c r="K37" i="1"/>
  <c r="K38" i="1"/>
  <c r="K39" i="1"/>
  <c r="K40" i="1"/>
  <c r="K41" i="1"/>
  <c r="K42" i="1"/>
  <c r="K43" i="1"/>
  <c r="K44" i="1"/>
  <c r="K45" i="1"/>
  <c r="K46" i="1"/>
  <c r="K47" i="1"/>
  <c r="K48" i="1"/>
  <c r="K49" i="1"/>
  <c r="K50" i="1"/>
  <c r="K51" i="1"/>
  <c r="K52" i="1"/>
  <c r="K53" i="1"/>
  <c r="K54" i="1"/>
  <c r="K55" i="1"/>
  <c r="K56" i="1"/>
  <c r="K57" i="1"/>
  <c r="K58" i="1"/>
  <c r="K59" i="1"/>
  <c r="K60" i="1"/>
  <c r="K61" i="1"/>
  <c r="K62" i="1"/>
  <c r="K63" i="1"/>
  <c r="K64" i="1"/>
  <c r="K65" i="1"/>
  <c r="K66" i="1"/>
  <c r="K67" i="1"/>
  <c r="K68" i="1"/>
  <c r="K69" i="1"/>
  <c r="K70" i="1"/>
  <c r="K71" i="1"/>
  <c r="K72" i="1"/>
  <c r="K73" i="1"/>
  <c r="K74" i="1"/>
  <c r="K75" i="1"/>
  <c r="K76" i="1"/>
  <c r="K77" i="1"/>
  <c r="K78" i="1"/>
  <c r="K79" i="1"/>
  <c r="K80" i="1"/>
  <c r="K81" i="1"/>
  <c r="K82" i="1"/>
  <c r="K83" i="1"/>
  <c r="K84" i="1"/>
  <c r="K85" i="1"/>
  <c r="K86" i="1"/>
  <c r="K87" i="1"/>
  <c r="K88" i="1"/>
  <c r="K89" i="1"/>
  <c r="K90" i="1"/>
  <c r="K91" i="1"/>
  <c r="K92" i="1"/>
  <c r="K93" i="1"/>
  <c r="K94" i="1"/>
  <c r="K95" i="1"/>
  <c r="K96" i="1"/>
  <c r="K97" i="1"/>
  <c r="K98" i="1"/>
  <c r="K99" i="1"/>
  <c r="K100" i="1"/>
  <c r="K101" i="1"/>
  <c r="K102" i="1"/>
  <c r="K103" i="1"/>
  <c r="K104" i="1"/>
  <c r="K105" i="1"/>
  <c r="K106" i="1"/>
  <c r="K107" i="1"/>
  <c r="K108" i="1"/>
  <c r="K109" i="1"/>
  <c r="K110" i="1"/>
  <c r="K111" i="1"/>
  <c r="K112" i="1"/>
  <c r="K113" i="1"/>
  <c r="K114" i="1"/>
  <c r="K115" i="1"/>
  <c r="K116" i="1"/>
  <c r="K117" i="1"/>
  <c r="K118" i="1"/>
  <c r="K119" i="1"/>
  <c r="K120" i="1"/>
  <c r="K121" i="1"/>
  <c r="K122" i="1"/>
  <c r="K123" i="1"/>
  <c r="K124" i="1"/>
  <c r="K125" i="1"/>
  <c r="K126" i="1"/>
  <c r="K127" i="1"/>
  <c r="K128" i="1"/>
  <c r="K129" i="1"/>
  <c r="K130" i="1"/>
  <c r="K131" i="1"/>
  <c r="K132" i="1"/>
  <c r="K133" i="1"/>
  <c r="K134" i="1"/>
  <c r="K135" i="1"/>
  <c r="K136" i="1"/>
  <c r="K137" i="1"/>
  <c r="K138" i="1"/>
  <c r="K139" i="1"/>
  <c r="K140" i="1"/>
  <c r="K141" i="1"/>
  <c r="K142" i="1"/>
  <c r="K143" i="1"/>
  <c r="K144" i="1"/>
  <c r="K145" i="1"/>
  <c r="K146" i="1"/>
  <c r="K147" i="1"/>
  <c r="K148" i="1"/>
  <c r="K149" i="1"/>
  <c r="K150" i="1"/>
  <c r="K151" i="1"/>
  <c r="K152" i="1"/>
  <c r="K153" i="1"/>
  <c r="K154" i="1"/>
  <c r="K155" i="1"/>
  <c r="K156" i="1"/>
  <c r="K157" i="1"/>
  <c r="K158" i="1"/>
  <c r="K159" i="1"/>
  <c r="K160" i="1"/>
  <c r="K161" i="1"/>
  <c r="K162" i="1"/>
  <c r="K163" i="1"/>
  <c r="K164" i="1"/>
  <c r="K165" i="1"/>
  <c r="K166" i="1"/>
  <c r="K167" i="1"/>
  <c r="K168" i="1"/>
  <c r="K169" i="1"/>
  <c r="K170" i="1"/>
  <c r="K171" i="1"/>
  <c r="K172" i="1"/>
  <c r="K173" i="1"/>
  <c r="K174" i="1"/>
  <c r="K175" i="1"/>
  <c r="K176" i="1"/>
  <c r="K177" i="1"/>
  <c r="K178" i="1"/>
  <c r="K179" i="1"/>
  <c r="K180" i="1"/>
  <c r="K181" i="1"/>
  <c r="K182" i="1"/>
  <c r="K183" i="1"/>
  <c r="K184" i="1"/>
  <c r="K185" i="1"/>
  <c r="K186" i="1"/>
  <c r="K187" i="1"/>
  <c r="K188" i="1"/>
  <c r="K189" i="1"/>
  <c r="K190" i="1"/>
  <c r="K191" i="1"/>
  <c r="K192" i="1"/>
  <c r="K193" i="1"/>
  <c r="K194" i="1"/>
  <c r="K195" i="1"/>
  <c r="K196" i="1"/>
  <c r="K197" i="1"/>
  <c r="K198" i="1"/>
  <c r="K199" i="1"/>
  <c r="K200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K29" i="1"/>
  <c r="K30" i="1"/>
  <c r="K31" i="1"/>
  <c r="K32" i="1"/>
  <c r="K33" i="1"/>
  <c r="K14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F159" i="1"/>
  <c r="F160" i="1"/>
  <c r="F161" i="1"/>
  <c r="F162" i="1"/>
  <c r="F163" i="1"/>
  <c r="F164" i="1"/>
  <c r="F165" i="1"/>
  <c r="F166" i="1"/>
  <c r="F167" i="1"/>
  <c r="F168" i="1"/>
  <c r="F169" i="1"/>
  <c r="F170" i="1"/>
  <c r="F171" i="1"/>
  <c r="F172" i="1"/>
  <c r="F173" i="1"/>
  <c r="F174" i="1"/>
  <c r="F175" i="1"/>
  <c r="F176" i="1"/>
  <c r="F177" i="1"/>
  <c r="F178" i="1"/>
  <c r="F179" i="1"/>
  <c r="F180" i="1"/>
  <c r="F181" i="1"/>
  <c r="F182" i="1"/>
  <c r="F183" i="1"/>
  <c r="F184" i="1"/>
  <c r="F185" i="1"/>
  <c r="F186" i="1"/>
  <c r="F187" i="1"/>
  <c r="F188" i="1"/>
  <c r="F189" i="1"/>
  <c r="F190" i="1"/>
  <c r="F191" i="1"/>
  <c r="F192" i="1"/>
  <c r="F193" i="1"/>
  <c r="F194" i="1"/>
  <c r="F195" i="1"/>
  <c r="F196" i="1"/>
  <c r="F197" i="1"/>
  <c r="F198" i="1"/>
  <c r="F199" i="1"/>
  <c r="F200" i="1"/>
  <c r="F92" i="1"/>
  <c r="F93" i="1"/>
  <c r="G93" i="1" s="1"/>
  <c r="F94" i="1"/>
  <c r="F95" i="1"/>
  <c r="G95" i="1" s="1"/>
  <c r="F96" i="1"/>
  <c r="F97" i="1"/>
  <c r="G97" i="1" s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G83" i="1" s="1"/>
  <c r="F84" i="1"/>
  <c r="F85" i="1"/>
  <c r="G85" i="1" s="1"/>
  <c r="F86" i="1"/>
  <c r="F87" i="1"/>
  <c r="G87" i="1" s="1"/>
  <c r="F88" i="1"/>
  <c r="F89" i="1"/>
  <c r="G89" i="1" s="1"/>
  <c r="F90" i="1"/>
  <c r="F91" i="1"/>
  <c r="G91" i="1" s="1"/>
  <c r="F54" i="1"/>
  <c r="F55" i="1"/>
  <c r="F56" i="1"/>
  <c r="F57" i="1"/>
  <c r="F58" i="1"/>
  <c r="F59" i="1"/>
  <c r="F60" i="1"/>
  <c r="F61" i="1"/>
  <c r="F62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B1" i="11" l="1"/>
  <c r="H52" i="1"/>
  <c r="G52" i="1"/>
  <c r="H53" i="1"/>
  <c r="G53" i="1"/>
  <c r="H51" i="1"/>
  <c r="G51" i="1"/>
  <c r="H49" i="1"/>
  <c r="G49" i="1"/>
  <c r="H47" i="1"/>
  <c r="G47" i="1"/>
  <c r="H45" i="1"/>
  <c r="G45" i="1"/>
  <c r="H43" i="1"/>
  <c r="G43" i="1"/>
  <c r="H41" i="1"/>
  <c r="G41" i="1"/>
  <c r="H39" i="1"/>
  <c r="G39" i="1"/>
  <c r="H37" i="1"/>
  <c r="G37" i="1"/>
  <c r="H62" i="1"/>
  <c r="G62" i="1"/>
  <c r="H60" i="1"/>
  <c r="G60" i="1"/>
  <c r="H58" i="1"/>
  <c r="G58" i="1"/>
  <c r="H56" i="1"/>
  <c r="G56" i="1"/>
  <c r="H54" i="1"/>
  <c r="G54" i="1"/>
  <c r="H90" i="1"/>
  <c r="G90" i="1"/>
  <c r="H88" i="1"/>
  <c r="G88" i="1"/>
  <c r="H86" i="1"/>
  <c r="G86" i="1"/>
  <c r="H84" i="1"/>
  <c r="G84" i="1"/>
  <c r="H82" i="1"/>
  <c r="G82" i="1"/>
  <c r="H80" i="1"/>
  <c r="G80" i="1"/>
  <c r="H78" i="1"/>
  <c r="G78" i="1"/>
  <c r="H76" i="1"/>
  <c r="G76" i="1"/>
  <c r="H74" i="1"/>
  <c r="G74" i="1"/>
  <c r="H72" i="1"/>
  <c r="G72" i="1"/>
  <c r="H70" i="1"/>
  <c r="G70" i="1"/>
  <c r="H68" i="1"/>
  <c r="G68" i="1"/>
  <c r="H66" i="1"/>
  <c r="G66" i="1"/>
  <c r="H64" i="1"/>
  <c r="G64" i="1"/>
  <c r="L200" i="1"/>
  <c r="G200" i="1"/>
  <c r="J198" i="1"/>
  <c r="G198" i="1"/>
  <c r="L196" i="1"/>
  <c r="G196" i="1"/>
  <c r="J194" i="1"/>
  <c r="G194" i="1"/>
  <c r="L192" i="1"/>
  <c r="G192" i="1"/>
  <c r="J190" i="1"/>
  <c r="G190" i="1"/>
  <c r="L188" i="1"/>
  <c r="G188" i="1"/>
  <c r="J186" i="1"/>
  <c r="G186" i="1"/>
  <c r="L184" i="1"/>
  <c r="G184" i="1"/>
  <c r="J182" i="1"/>
  <c r="G182" i="1"/>
  <c r="L180" i="1"/>
  <c r="G180" i="1"/>
  <c r="J178" i="1"/>
  <c r="G178" i="1"/>
  <c r="L176" i="1"/>
  <c r="G176" i="1"/>
  <c r="J174" i="1"/>
  <c r="G174" i="1"/>
  <c r="L172" i="1"/>
  <c r="G172" i="1"/>
  <c r="J170" i="1"/>
  <c r="G170" i="1"/>
  <c r="L168" i="1"/>
  <c r="G168" i="1"/>
  <c r="J166" i="1"/>
  <c r="G166" i="1"/>
  <c r="L164" i="1"/>
  <c r="G164" i="1"/>
  <c r="J162" i="1"/>
  <c r="G162" i="1"/>
  <c r="L160" i="1"/>
  <c r="G160" i="1"/>
  <c r="J158" i="1"/>
  <c r="G158" i="1"/>
  <c r="L156" i="1"/>
  <c r="G156" i="1"/>
  <c r="J154" i="1"/>
  <c r="G154" i="1"/>
  <c r="L152" i="1"/>
  <c r="G152" i="1"/>
  <c r="J150" i="1"/>
  <c r="G150" i="1"/>
  <c r="L148" i="1"/>
  <c r="G148" i="1"/>
  <c r="J146" i="1"/>
  <c r="G146" i="1"/>
  <c r="L144" i="1"/>
  <c r="G144" i="1"/>
  <c r="J142" i="1"/>
  <c r="G142" i="1"/>
  <c r="L140" i="1"/>
  <c r="G140" i="1"/>
  <c r="J138" i="1"/>
  <c r="G138" i="1"/>
  <c r="L136" i="1"/>
  <c r="G136" i="1"/>
  <c r="J134" i="1"/>
  <c r="G134" i="1"/>
  <c r="L132" i="1"/>
  <c r="G132" i="1"/>
  <c r="J130" i="1"/>
  <c r="G130" i="1"/>
  <c r="L128" i="1"/>
  <c r="G128" i="1"/>
  <c r="J126" i="1"/>
  <c r="G126" i="1"/>
  <c r="L124" i="1"/>
  <c r="G124" i="1"/>
  <c r="J122" i="1"/>
  <c r="G122" i="1"/>
  <c r="L120" i="1"/>
  <c r="G120" i="1"/>
  <c r="J118" i="1"/>
  <c r="G118" i="1"/>
  <c r="L116" i="1"/>
  <c r="G116" i="1"/>
  <c r="J114" i="1"/>
  <c r="G114" i="1"/>
  <c r="L112" i="1"/>
  <c r="G112" i="1"/>
  <c r="J110" i="1"/>
  <c r="G110" i="1"/>
  <c r="L108" i="1"/>
  <c r="G108" i="1"/>
  <c r="J106" i="1"/>
  <c r="G106" i="1"/>
  <c r="L104" i="1"/>
  <c r="G104" i="1"/>
  <c r="J102" i="1"/>
  <c r="G102" i="1"/>
  <c r="L100" i="1"/>
  <c r="G100" i="1"/>
  <c r="J98" i="1"/>
  <c r="G98" i="1"/>
  <c r="H50" i="1"/>
  <c r="G50" i="1"/>
  <c r="H48" i="1"/>
  <c r="G48" i="1"/>
  <c r="H46" i="1"/>
  <c r="G46" i="1"/>
  <c r="H44" i="1"/>
  <c r="G44" i="1"/>
  <c r="H42" i="1"/>
  <c r="G42" i="1"/>
  <c r="H40" i="1"/>
  <c r="G40" i="1"/>
  <c r="H38" i="1"/>
  <c r="G38" i="1"/>
  <c r="H36" i="1"/>
  <c r="G36" i="1"/>
  <c r="H61" i="1"/>
  <c r="G61" i="1"/>
  <c r="H59" i="1"/>
  <c r="G59" i="1"/>
  <c r="H57" i="1"/>
  <c r="G57" i="1"/>
  <c r="H55" i="1"/>
  <c r="G55" i="1"/>
  <c r="H81" i="1"/>
  <c r="G81" i="1"/>
  <c r="H79" i="1"/>
  <c r="G79" i="1"/>
  <c r="H77" i="1"/>
  <c r="G77" i="1"/>
  <c r="H75" i="1"/>
  <c r="G75" i="1"/>
  <c r="H73" i="1"/>
  <c r="G73" i="1"/>
  <c r="H71" i="1"/>
  <c r="G71" i="1"/>
  <c r="H69" i="1"/>
  <c r="G69" i="1"/>
  <c r="H67" i="1"/>
  <c r="G67" i="1"/>
  <c r="H65" i="1"/>
  <c r="G65" i="1"/>
  <c r="H63" i="1"/>
  <c r="G63" i="1"/>
  <c r="H96" i="1"/>
  <c r="G96" i="1"/>
  <c r="H94" i="1"/>
  <c r="G94" i="1"/>
  <c r="H92" i="1"/>
  <c r="G92" i="1"/>
  <c r="L199" i="1"/>
  <c r="G199" i="1"/>
  <c r="L197" i="1"/>
  <c r="G197" i="1"/>
  <c r="L195" i="1"/>
  <c r="G195" i="1"/>
  <c r="L193" i="1"/>
  <c r="G193" i="1"/>
  <c r="L191" i="1"/>
  <c r="G191" i="1"/>
  <c r="L189" i="1"/>
  <c r="G189" i="1"/>
  <c r="L187" i="1"/>
  <c r="G187" i="1"/>
  <c r="L185" i="1"/>
  <c r="G185" i="1"/>
  <c r="L183" i="1"/>
  <c r="G183" i="1"/>
  <c r="L181" i="1"/>
  <c r="G181" i="1"/>
  <c r="L179" i="1"/>
  <c r="G179" i="1"/>
  <c r="L177" i="1"/>
  <c r="G177" i="1"/>
  <c r="L175" i="1"/>
  <c r="G175" i="1"/>
  <c r="L173" i="1"/>
  <c r="G173" i="1"/>
  <c r="L171" i="1"/>
  <c r="G171" i="1"/>
  <c r="L169" i="1"/>
  <c r="G169" i="1"/>
  <c r="L167" i="1"/>
  <c r="G167" i="1"/>
  <c r="L165" i="1"/>
  <c r="G165" i="1"/>
  <c r="L163" i="1"/>
  <c r="G163" i="1"/>
  <c r="L161" i="1"/>
  <c r="G161" i="1"/>
  <c r="L159" i="1"/>
  <c r="G159" i="1"/>
  <c r="L157" i="1"/>
  <c r="G157" i="1"/>
  <c r="L155" i="1"/>
  <c r="G155" i="1"/>
  <c r="L153" i="1"/>
  <c r="G153" i="1"/>
  <c r="L151" i="1"/>
  <c r="G151" i="1"/>
  <c r="L149" i="1"/>
  <c r="G149" i="1"/>
  <c r="L147" i="1"/>
  <c r="G147" i="1"/>
  <c r="L145" i="1"/>
  <c r="G145" i="1"/>
  <c r="L143" i="1"/>
  <c r="G143" i="1"/>
  <c r="L141" i="1"/>
  <c r="G141" i="1"/>
  <c r="L139" i="1"/>
  <c r="G139" i="1"/>
  <c r="L137" i="1"/>
  <c r="G137" i="1"/>
  <c r="L135" i="1"/>
  <c r="G135" i="1"/>
  <c r="H133" i="1"/>
  <c r="G133" i="1"/>
  <c r="H131" i="1"/>
  <c r="G131" i="1"/>
  <c r="H129" i="1"/>
  <c r="G129" i="1"/>
  <c r="H127" i="1"/>
  <c r="G127" i="1"/>
  <c r="H125" i="1"/>
  <c r="G125" i="1"/>
  <c r="H123" i="1"/>
  <c r="G123" i="1"/>
  <c r="H121" i="1"/>
  <c r="G121" i="1"/>
  <c r="H119" i="1"/>
  <c r="G119" i="1"/>
  <c r="H117" i="1"/>
  <c r="G117" i="1"/>
  <c r="H115" i="1"/>
  <c r="G115" i="1"/>
  <c r="H113" i="1"/>
  <c r="G113" i="1"/>
  <c r="H111" i="1"/>
  <c r="G111" i="1"/>
  <c r="H109" i="1"/>
  <c r="G109" i="1"/>
  <c r="H107" i="1"/>
  <c r="G107" i="1"/>
  <c r="H105" i="1"/>
  <c r="G105" i="1"/>
  <c r="H103" i="1"/>
  <c r="G103" i="1"/>
  <c r="H101" i="1"/>
  <c r="G101" i="1"/>
  <c r="H99" i="1"/>
  <c r="G99" i="1"/>
  <c r="H199" i="1"/>
  <c r="H195" i="1"/>
  <c r="H191" i="1"/>
  <c r="H187" i="1"/>
  <c r="H183" i="1"/>
  <c r="H179" i="1"/>
  <c r="H175" i="1"/>
  <c r="H171" i="1"/>
  <c r="H167" i="1"/>
  <c r="H163" i="1"/>
  <c r="H159" i="1"/>
  <c r="H155" i="1"/>
  <c r="H151" i="1"/>
  <c r="H147" i="1"/>
  <c r="H143" i="1"/>
  <c r="H139" i="1"/>
  <c r="H135" i="1"/>
  <c r="J141" i="1"/>
  <c r="J137" i="1"/>
  <c r="H197" i="1"/>
  <c r="H193" i="1"/>
  <c r="H189" i="1"/>
  <c r="H185" i="1"/>
  <c r="H181" i="1"/>
  <c r="H177" i="1"/>
  <c r="H173" i="1"/>
  <c r="H169" i="1"/>
  <c r="H165" i="1"/>
  <c r="H161" i="1"/>
  <c r="H157" i="1"/>
  <c r="H153" i="1"/>
  <c r="H149" i="1"/>
  <c r="H145" i="1"/>
  <c r="H141" i="1"/>
  <c r="H137" i="1"/>
  <c r="J139" i="1"/>
  <c r="J135" i="1"/>
  <c r="H95" i="1"/>
  <c r="L95" i="1"/>
  <c r="J95" i="1"/>
  <c r="J199" i="1"/>
  <c r="J197" i="1"/>
  <c r="J195" i="1"/>
  <c r="J193" i="1"/>
  <c r="J191" i="1"/>
  <c r="J189" i="1"/>
  <c r="J187" i="1"/>
  <c r="J185" i="1"/>
  <c r="J183" i="1"/>
  <c r="J181" i="1"/>
  <c r="J179" i="1"/>
  <c r="J177" i="1"/>
  <c r="J175" i="1"/>
  <c r="J173" i="1"/>
  <c r="J171" i="1"/>
  <c r="J169" i="1"/>
  <c r="J167" i="1"/>
  <c r="J165" i="1"/>
  <c r="J163" i="1"/>
  <c r="J161" i="1"/>
  <c r="J159" i="1"/>
  <c r="J157" i="1"/>
  <c r="J155" i="1"/>
  <c r="J153" i="1"/>
  <c r="J151" i="1"/>
  <c r="J149" i="1"/>
  <c r="J147" i="1"/>
  <c r="J145" i="1"/>
  <c r="J143" i="1"/>
  <c r="J132" i="1"/>
  <c r="J128" i="1"/>
  <c r="J124" i="1"/>
  <c r="J120" i="1"/>
  <c r="J116" i="1"/>
  <c r="J112" i="1"/>
  <c r="J108" i="1"/>
  <c r="J104" i="1"/>
  <c r="J100" i="1"/>
  <c r="J96" i="1"/>
  <c r="J92" i="1"/>
  <c r="J88" i="1"/>
  <c r="J84" i="1"/>
  <c r="L198" i="1"/>
  <c r="L194" i="1"/>
  <c r="L190" i="1"/>
  <c r="L186" i="1"/>
  <c r="L182" i="1"/>
  <c r="L178" i="1"/>
  <c r="L174" i="1"/>
  <c r="L170" i="1"/>
  <c r="L166" i="1"/>
  <c r="L162" i="1"/>
  <c r="L158" i="1"/>
  <c r="L154" i="1"/>
  <c r="L150" i="1"/>
  <c r="L146" i="1"/>
  <c r="L142" i="1"/>
  <c r="L138" i="1"/>
  <c r="L134" i="1"/>
  <c r="L130" i="1"/>
  <c r="L126" i="1"/>
  <c r="L122" i="1"/>
  <c r="L118" i="1"/>
  <c r="L114" i="1"/>
  <c r="L110" i="1"/>
  <c r="L106" i="1"/>
  <c r="L102" i="1"/>
  <c r="L98" i="1"/>
  <c r="L94" i="1"/>
  <c r="L90" i="1"/>
  <c r="L86" i="1"/>
  <c r="H97" i="1"/>
  <c r="L97" i="1"/>
  <c r="J97" i="1"/>
  <c r="H93" i="1"/>
  <c r="L93" i="1"/>
  <c r="J93" i="1"/>
  <c r="H91" i="1"/>
  <c r="L91" i="1"/>
  <c r="J91" i="1"/>
  <c r="H89" i="1"/>
  <c r="L89" i="1"/>
  <c r="J89" i="1"/>
  <c r="H87" i="1"/>
  <c r="L87" i="1"/>
  <c r="J87" i="1"/>
  <c r="H85" i="1"/>
  <c r="L85" i="1"/>
  <c r="J85" i="1"/>
  <c r="H83" i="1"/>
  <c r="L83" i="1"/>
  <c r="J83" i="1"/>
  <c r="L133" i="1"/>
  <c r="J133" i="1"/>
  <c r="L131" i="1"/>
  <c r="J131" i="1"/>
  <c r="L129" i="1"/>
  <c r="J129" i="1"/>
  <c r="L127" i="1"/>
  <c r="J127" i="1"/>
  <c r="L125" i="1"/>
  <c r="J125" i="1"/>
  <c r="L123" i="1"/>
  <c r="J123" i="1"/>
  <c r="L121" i="1"/>
  <c r="J121" i="1"/>
  <c r="L119" i="1"/>
  <c r="J119" i="1"/>
  <c r="L117" i="1"/>
  <c r="J117" i="1"/>
  <c r="L115" i="1"/>
  <c r="J115" i="1"/>
  <c r="L113" i="1"/>
  <c r="J113" i="1"/>
  <c r="L111" i="1"/>
  <c r="J111" i="1"/>
  <c r="L109" i="1"/>
  <c r="J109" i="1"/>
  <c r="L107" i="1"/>
  <c r="J107" i="1"/>
  <c r="L105" i="1"/>
  <c r="J105" i="1"/>
  <c r="L103" i="1"/>
  <c r="J103" i="1"/>
  <c r="L101" i="1"/>
  <c r="J101" i="1"/>
  <c r="L99" i="1"/>
  <c r="J99" i="1"/>
  <c r="H200" i="1"/>
  <c r="H198" i="1"/>
  <c r="H196" i="1"/>
  <c r="H194" i="1"/>
  <c r="H192" i="1"/>
  <c r="H190" i="1"/>
  <c r="H188" i="1"/>
  <c r="H186" i="1"/>
  <c r="H184" i="1"/>
  <c r="H182" i="1"/>
  <c r="H180" i="1"/>
  <c r="H178" i="1"/>
  <c r="H176" i="1"/>
  <c r="H174" i="1"/>
  <c r="H172" i="1"/>
  <c r="H170" i="1"/>
  <c r="H168" i="1"/>
  <c r="H166" i="1"/>
  <c r="H164" i="1"/>
  <c r="H162" i="1"/>
  <c r="H160" i="1"/>
  <c r="H158" i="1"/>
  <c r="H156" i="1"/>
  <c r="H154" i="1"/>
  <c r="H152" i="1"/>
  <c r="H150" i="1"/>
  <c r="H148" i="1"/>
  <c r="H146" i="1"/>
  <c r="H144" i="1"/>
  <c r="H142" i="1"/>
  <c r="H140" i="1"/>
  <c r="H138" i="1"/>
  <c r="H136" i="1"/>
  <c r="H134" i="1"/>
  <c r="H132" i="1"/>
  <c r="H130" i="1"/>
  <c r="H128" i="1"/>
  <c r="H126" i="1"/>
  <c r="H124" i="1"/>
  <c r="H122" i="1"/>
  <c r="H120" i="1"/>
  <c r="H118" i="1"/>
  <c r="H116" i="1"/>
  <c r="H114" i="1"/>
  <c r="H112" i="1"/>
  <c r="H110" i="1"/>
  <c r="H108" i="1"/>
  <c r="H106" i="1"/>
  <c r="H104" i="1"/>
  <c r="H102" i="1"/>
  <c r="H100" i="1"/>
  <c r="H98" i="1"/>
  <c r="J200" i="1"/>
  <c r="J196" i="1"/>
  <c r="J192" i="1"/>
  <c r="J188" i="1"/>
  <c r="J184" i="1"/>
  <c r="J180" i="1"/>
  <c r="J176" i="1"/>
  <c r="J172" i="1"/>
  <c r="J168" i="1"/>
  <c r="J164" i="1"/>
  <c r="J160" i="1"/>
  <c r="J156" i="1"/>
  <c r="J152" i="1"/>
  <c r="J148" i="1"/>
  <c r="J144" i="1"/>
  <c r="J140" i="1"/>
  <c r="J136" i="1"/>
  <c r="J94" i="1"/>
  <c r="J90" i="1"/>
  <c r="J86" i="1"/>
  <c r="L96" i="1"/>
  <c r="L92" i="1"/>
  <c r="L88" i="1"/>
  <c r="L84" i="1"/>
  <c r="L82" i="1"/>
  <c r="L80" i="1"/>
  <c r="L81" i="1"/>
  <c r="L79" i="1"/>
  <c r="L49" i="1"/>
  <c r="L47" i="1"/>
  <c r="L45" i="1"/>
  <c r="L43" i="1"/>
  <c r="L41" i="1"/>
  <c r="L39" i="1"/>
  <c r="L37" i="1"/>
  <c r="L58" i="1"/>
  <c r="L56" i="1"/>
  <c r="L54" i="1"/>
  <c r="L52" i="1"/>
  <c r="L78" i="1"/>
  <c r="L76" i="1"/>
  <c r="L74" i="1"/>
  <c r="L72" i="1"/>
  <c r="L70" i="1"/>
  <c r="L68" i="1"/>
  <c r="L66" i="1"/>
  <c r="L64" i="1"/>
  <c r="L62" i="1"/>
  <c r="L60" i="1"/>
  <c r="L50" i="1"/>
  <c r="L48" i="1"/>
  <c r="L46" i="1"/>
  <c r="L44" i="1"/>
  <c r="L42" i="1"/>
  <c r="L40" i="1"/>
  <c r="L38" i="1"/>
  <c r="L36" i="1"/>
  <c r="L57" i="1"/>
  <c r="L55" i="1"/>
  <c r="L53" i="1"/>
  <c r="L51" i="1"/>
  <c r="L77" i="1"/>
  <c r="L75" i="1"/>
  <c r="L73" i="1"/>
  <c r="L71" i="1"/>
  <c r="L69" i="1"/>
  <c r="L67" i="1"/>
  <c r="L65" i="1"/>
  <c r="L63" i="1"/>
  <c r="L61" i="1"/>
  <c r="L59" i="1"/>
  <c r="J81" i="1"/>
  <c r="J79" i="1"/>
  <c r="J77" i="1"/>
  <c r="J75" i="1"/>
  <c r="J73" i="1"/>
  <c r="J71" i="1"/>
  <c r="J82" i="1"/>
  <c r="J80" i="1"/>
  <c r="J78" i="1"/>
  <c r="J76" i="1"/>
  <c r="J74" i="1"/>
  <c r="J72" i="1"/>
  <c r="J70" i="1"/>
  <c r="J68" i="1"/>
  <c r="J66" i="1"/>
  <c r="J64" i="1"/>
  <c r="J62" i="1"/>
  <c r="J60" i="1"/>
  <c r="J58" i="1"/>
  <c r="J56" i="1"/>
  <c r="J54" i="1"/>
  <c r="J52" i="1"/>
  <c r="J50" i="1"/>
  <c r="J48" i="1"/>
  <c r="J46" i="1"/>
  <c r="J44" i="1"/>
  <c r="J42" i="1"/>
  <c r="J40" i="1"/>
  <c r="J38" i="1"/>
  <c r="J36" i="1"/>
  <c r="J69" i="1"/>
  <c r="J67" i="1"/>
  <c r="J65" i="1"/>
  <c r="J63" i="1"/>
  <c r="J61" i="1"/>
  <c r="J59" i="1"/>
  <c r="J57" i="1"/>
  <c r="J55" i="1"/>
  <c r="J53" i="1"/>
  <c r="J51" i="1"/>
  <c r="J49" i="1"/>
  <c r="J47" i="1"/>
  <c r="J45" i="1"/>
  <c r="J43" i="1"/>
  <c r="J41" i="1"/>
  <c r="J39" i="1"/>
  <c r="J37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G33" i="1" s="1"/>
  <c r="F34" i="1"/>
  <c r="G34" i="1" s="1"/>
  <c r="F35" i="1"/>
  <c r="G35" i="1" s="1"/>
  <c r="F14" i="1"/>
  <c r="J35" i="9"/>
  <c r="K35" i="9" s="1"/>
  <c r="J34" i="9"/>
  <c r="L34" i="9" s="1"/>
  <c r="J33" i="9"/>
  <c r="K33" i="9" s="1"/>
  <c r="J32" i="9"/>
  <c r="K32" i="9" s="1"/>
  <c r="J31" i="9"/>
  <c r="J30" i="9"/>
  <c r="K30" i="9" s="1"/>
  <c r="J29" i="9"/>
  <c r="L29" i="9" s="1"/>
  <c r="J28" i="9"/>
  <c r="K28" i="9" s="1"/>
  <c r="J27" i="9"/>
  <c r="K27" i="9" s="1"/>
  <c r="J26" i="9"/>
  <c r="J25" i="9"/>
  <c r="K25" i="9" s="1"/>
  <c r="J24" i="9"/>
  <c r="L24" i="9" s="1"/>
  <c r="J23" i="9"/>
  <c r="K23" i="9" s="1"/>
  <c r="J22" i="9"/>
  <c r="K22" i="9" s="1"/>
  <c r="J21" i="9"/>
  <c r="J20" i="9"/>
  <c r="K20" i="9" s="1"/>
  <c r="J19" i="9"/>
  <c r="L19" i="9" s="1"/>
  <c r="J18" i="9"/>
  <c r="K18" i="9" s="1"/>
  <c r="J17" i="9"/>
  <c r="K17" i="9" s="1"/>
  <c r="J16" i="9"/>
  <c r="J15" i="9"/>
  <c r="K15" i="9" s="1"/>
  <c r="J14" i="9"/>
  <c r="L14" i="9" s="1"/>
  <c r="J13" i="9"/>
  <c r="K13" i="9" s="1"/>
  <c r="J12" i="9"/>
  <c r="K12" i="9" s="1"/>
  <c r="J11" i="9"/>
  <c r="A11" i="9"/>
  <c r="S10" i="9"/>
  <c r="U10" i="9" s="1"/>
  <c r="S9" i="9"/>
  <c r="U9" i="9" s="1"/>
  <c r="Y8" i="9"/>
  <c r="T8" i="9"/>
  <c r="Y7" i="9"/>
  <c r="T7" i="9"/>
  <c r="AE6" i="9"/>
  <c r="AD6" i="9"/>
  <c r="Y6" i="9"/>
  <c r="T6" i="9"/>
  <c r="AE5" i="9"/>
  <c r="AD5" i="9"/>
  <c r="T5" i="9"/>
  <c r="AE4" i="9"/>
  <c r="AD4" i="9"/>
  <c r="S4" i="9"/>
  <c r="T4" i="9" s="1"/>
  <c r="AE3" i="9"/>
  <c r="AD3" i="9"/>
  <c r="U3" i="9"/>
  <c r="T3" i="9"/>
  <c r="AE2" i="9"/>
  <c r="AD2" i="9"/>
  <c r="U2" i="9"/>
  <c r="T2" i="9"/>
  <c r="C7" i="9"/>
  <c r="C8" i="9"/>
  <c r="M6" i="9"/>
  <c r="M5" i="9"/>
  <c r="D10" i="9"/>
  <c r="M4" i="9"/>
  <c r="P14" i="9" l="1"/>
  <c r="P13" i="9"/>
  <c r="P12" i="9"/>
  <c r="P15" i="9"/>
  <c r="P11" i="9"/>
  <c r="A13" i="9"/>
  <c r="A14" i="9"/>
  <c r="A12" i="9"/>
  <c r="A16" i="9"/>
  <c r="K11" i="9"/>
  <c r="L11" i="9" s="1"/>
  <c r="T9" i="9"/>
  <c r="T10" i="9"/>
  <c r="L17" i="9"/>
  <c r="L18" i="9"/>
  <c r="L25" i="9"/>
  <c r="L27" i="9"/>
  <c r="L28" i="9"/>
  <c r="L35" i="9"/>
  <c r="L12" i="9"/>
  <c r="L13" i="9"/>
  <c r="J14" i="1"/>
  <c r="L14" i="1"/>
  <c r="J34" i="1"/>
  <c r="L34" i="1"/>
  <c r="J32" i="1"/>
  <c r="L32" i="1"/>
  <c r="J30" i="1"/>
  <c r="L30" i="1"/>
  <c r="J28" i="1"/>
  <c r="L28" i="1"/>
  <c r="J26" i="1"/>
  <c r="L26" i="1"/>
  <c r="J24" i="1"/>
  <c r="L24" i="1"/>
  <c r="J22" i="1"/>
  <c r="L22" i="1"/>
  <c r="J20" i="1"/>
  <c r="L20" i="1"/>
  <c r="J18" i="1"/>
  <c r="L18" i="1"/>
  <c r="J16" i="1"/>
  <c r="L16" i="1"/>
  <c r="J35" i="1"/>
  <c r="L35" i="1"/>
  <c r="J33" i="1"/>
  <c r="L33" i="1"/>
  <c r="J31" i="1"/>
  <c r="L31" i="1"/>
  <c r="J29" i="1"/>
  <c r="L29" i="1"/>
  <c r="J27" i="1"/>
  <c r="L27" i="1"/>
  <c r="J25" i="1"/>
  <c r="L25" i="1"/>
  <c r="J23" i="1"/>
  <c r="L23" i="1"/>
  <c r="J21" i="1"/>
  <c r="L21" i="1"/>
  <c r="J19" i="1"/>
  <c r="L19" i="1"/>
  <c r="J17" i="1"/>
  <c r="L17" i="1"/>
  <c r="J15" i="1"/>
  <c r="L15" i="1"/>
  <c r="H14" i="1"/>
  <c r="H34" i="1"/>
  <c r="H32" i="1"/>
  <c r="H30" i="1"/>
  <c r="H28" i="1"/>
  <c r="H26" i="1"/>
  <c r="H24" i="1"/>
  <c r="H22" i="1"/>
  <c r="H20" i="1"/>
  <c r="H18" i="1"/>
  <c r="H16" i="1"/>
  <c r="G31" i="1"/>
  <c r="G29" i="1"/>
  <c r="G27" i="1"/>
  <c r="G25" i="1"/>
  <c r="G23" i="1"/>
  <c r="G21" i="1"/>
  <c r="G19" i="1"/>
  <c r="G17" i="1"/>
  <c r="G15" i="1"/>
  <c r="H35" i="1"/>
  <c r="H33" i="1"/>
  <c r="L32" i="9"/>
  <c r="L33" i="9"/>
  <c r="L30" i="9"/>
  <c r="L22" i="9"/>
  <c r="L23" i="9"/>
  <c r="L20" i="9"/>
  <c r="L15" i="9"/>
  <c r="G14" i="1"/>
  <c r="G32" i="1"/>
  <c r="G30" i="1"/>
  <c r="G28" i="1"/>
  <c r="G26" i="1"/>
  <c r="G24" i="1"/>
  <c r="G22" i="1"/>
  <c r="G20" i="1"/>
  <c r="G18" i="1"/>
  <c r="G16" i="1"/>
  <c r="H29" i="1"/>
  <c r="H27" i="1"/>
  <c r="H25" i="1"/>
  <c r="H23" i="1"/>
  <c r="H21" i="1"/>
  <c r="H19" i="1"/>
  <c r="H17" i="1"/>
  <c r="H15" i="1"/>
  <c r="H31" i="1"/>
  <c r="C9" i="9"/>
  <c r="D9" i="9"/>
  <c r="E10" i="9"/>
  <c r="U4" i="9"/>
  <c r="P20" i="9" l="1"/>
  <c r="P16" i="9"/>
  <c r="P19" i="9"/>
  <c r="P18" i="9"/>
  <c r="P17" i="9"/>
  <c r="A19" i="9"/>
  <c r="A18" i="9"/>
  <c r="A17" i="9"/>
  <c r="M13" i="9"/>
  <c r="M15" i="9"/>
  <c r="M11" i="9"/>
  <c r="A21" i="9"/>
  <c r="K16" i="9"/>
  <c r="N11" i="9"/>
  <c r="N12" i="9" s="1"/>
  <c r="N13" i="9" s="1"/>
  <c r="F10" i="9"/>
  <c r="E9" i="9"/>
  <c r="P24" i="9" l="1"/>
  <c r="P25" i="9"/>
  <c r="P23" i="9"/>
  <c r="P21" i="9"/>
  <c r="P22" i="9"/>
  <c r="A23" i="9"/>
  <c r="A24" i="9"/>
  <c r="A22" i="9"/>
  <c r="M20" i="9"/>
  <c r="M16" i="9"/>
  <c r="M18" i="9"/>
  <c r="L16" i="9"/>
  <c r="N16" i="9" s="1"/>
  <c r="N17" i="9" s="1"/>
  <c r="N18" i="9" s="1"/>
  <c r="N20" i="9" s="1"/>
  <c r="A26" i="9"/>
  <c r="K21" i="9"/>
  <c r="N15" i="9"/>
  <c r="O13" i="9"/>
  <c r="F9" i="9"/>
  <c r="G10" i="9"/>
  <c r="P28" i="9" l="1"/>
  <c r="P26" i="9"/>
  <c r="P30" i="9"/>
  <c r="P29" i="9"/>
  <c r="P27" i="9"/>
  <c r="A29" i="9"/>
  <c r="A27" i="9"/>
  <c r="A28" i="9"/>
  <c r="O18" i="9"/>
  <c r="M25" i="9"/>
  <c r="M21" i="9"/>
  <c r="M23" i="9"/>
  <c r="L21" i="9"/>
  <c r="N21" i="9" s="1"/>
  <c r="N22" i="9" s="1"/>
  <c r="N23" i="9" s="1"/>
  <c r="A31" i="9"/>
  <c r="K26" i="9"/>
  <c r="H10" i="9"/>
  <c r="G9" i="9"/>
  <c r="P32" i="9" l="1"/>
  <c r="P31" i="9"/>
  <c r="P35" i="9"/>
  <c r="P34" i="9"/>
  <c r="P33" i="9"/>
  <c r="A33" i="9"/>
  <c r="A34" i="9"/>
  <c r="A32" i="9"/>
  <c r="O23" i="9"/>
  <c r="N25" i="9"/>
  <c r="M30" i="9"/>
  <c r="M28" i="9"/>
  <c r="M26" i="9"/>
  <c r="L26" i="9"/>
  <c r="N26" i="9" s="1"/>
  <c r="N27" i="9" s="1"/>
  <c r="N28" i="9" s="1"/>
  <c r="A36" i="9"/>
  <c r="K31" i="9"/>
  <c r="H9" i="9"/>
  <c r="I10" i="9"/>
  <c r="I9" i="9" s="1"/>
  <c r="P40" i="9" l="1"/>
  <c r="P36" i="9"/>
  <c r="P37" i="9"/>
  <c r="P39" i="9"/>
  <c r="P38" i="9"/>
  <c r="A41" i="9"/>
  <c r="K41" i="9" s="1"/>
  <c r="A39" i="9"/>
  <c r="A38" i="9"/>
  <c r="A37" i="9"/>
  <c r="M35" i="9"/>
  <c r="M31" i="9"/>
  <c r="M33" i="9"/>
  <c r="L31" i="9"/>
  <c r="N31" i="9" s="1"/>
  <c r="N32" i="9" s="1"/>
  <c r="N33" i="9" s="1"/>
  <c r="O28" i="9"/>
  <c r="N30" i="9"/>
  <c r="K36" i="9"/>
  <c r="P44" i="9" l="1"/>
  <c r="P42" i="9"/>
  <c r="P41" i="9"/>
  <c r="P45" i="9"/>
  <c r="P43" i="9"/>
  <c r="A46" i="9"/>
  <c r="A49" i="9" s="1"/>
  <c r="A42" i="9"/>
  <c r="A43" i="9"/>
  <c r="A44" i="9"/>
  <c r="M41" i="9"/>
  <c r="M43" i="9"/>
  <c r="M45" i="9"/>
  <c r="L41" i="9"/>
  <c r="N41" i="9" s="1"/>
  <c r="N42" i="9" s="1"/>
  <c r="N43" i="9" s="1"/>
  <c r="M36" i="9"/>
  <c r="M38" i="9"/>
  <c r="M40" i="9"/>
  <c r="L36" i="9"/>
  <c r="N36" i="9" s="1"/>
  <c r="O33" i="9"/>
  <c r="N35" i="9"/>
  <c r="K46" i="9" l="1"/>
  <c r="M46" i="9" s="1"/>
  <c r="A51" i="9"/>
  <c r="A52" i="9" s="1"/>
  <c r="A48" i="9"/>
  <c r="P48" i="9"/>
  <c r="P47" i="9"/>
  <c r="P46" i="9"/>
  <c r="P50" i="9"/>
  <c r="P49" i="9"/>
  <c r="A47" i="9"/>
  <c r="O43" i="9"/>
  <c r="N45" i="9"/>
  <c r="N37" i="9"/>
  <c r="N38" i="9" s="1"/>
  <c r="A53" i="9" l="1"/>
  <c r="K51" i="9"/>
  <c r="M55" i="9" s="1"/>
  <c r="A56" i="9"/>
  <c r="P56" i="9" s="1"/>
  <c r="L46" i="9"/>
  <c r="N46" i="9" s="1"/>
  <c r="N47" i="9" s="1"/>
  <c r="N48" i="9" s="1"/>
  <c r="O48" i="9" s="1"/>
  <c r="M50" i="9"/>
  <c r="M48" i="9"/>
  <c r="P52" i="9"/>
  <c r="P53" i="9"/>
  <c r="P51" i="9"/>
  <c r="P55" i="9"/>
  <c r="P54" i="9"/>
  <c r="A54" i="9"/>
  <c r="O38" i="9"/>
  <c r="N40" i="9"/>
  <c r="M53" i="9" l="1"/>
  <c r="M51" i="9"/>
  <c r="L51" i="9"/>
  <c r="N51" i="9" s="1"/>
  <c r="N52" i="9" s="1"/>
  <c r="N53" i="9" s="1"/>
  <c r="N55" i="9" s="1"/>
  <c r="A57" i="9"/>
  <c r="A61" i="9"/>
  <c r="P62" i="9" s="1"/>
  <c r="P59" i="9"/>
  <c r="P60" i="9"/>
  <c r="P57" i="9"/>
  <c r="A58" i="9"/>
  <c r="P58" i="9"/>
  <c r="K56" i="9"/>
  <c r="M56" i="9" s="1"/>
  <c r="A59" i="9"/>
  <c r="N50" i="9"/>
  <c r="A64" i="9" l="1"/>
  <c r="L56" i="9"/>
  <c r="N56" i="9" s="1"/>
  <c r="N57" i="9" s="1"/>
  <c r="N58" i="9" s="1"/>
  <c r="O58" i="9" s="1"/>
  <c r="A62" i="9"/>
  <c r="O53" i="9"/>
  <c r="M60" i="9"/>
  <c r="M58" i="9"/>
  <c r="P61" i="9"/>
  <c r="K61" i="9"/>
  <c r="L61" i="9" s="1"/>
  <c r="N61" i="9" s="1"/>
  <c r="N62" i="9" s="1"/>
  <c r="N63" i="9" s="1"/>
  <c r="A63" i="9"/>
  <c r="P63" i="9"/>
  <c r="A66" i="9"/>
  <c r="P67" i="9" s="1"/>
  <c r="P65" i="9"/>
  <c r="P64" i="9"/>
  <c r="N60" i="9" l="1"/>
  <c r="A71" i="9"/>
  <c r="P73" i="9" s="1"/>
  <c r="K66" i="9"/>
  <c r="M66" i="9" s="1"/>
  <c r="M65" i="9"/>
  <c r="M63" i="9"/>
  <c r="M61" i="9"/>
  <c r="A68" i="9"/>
  <c r="P69" i="9"/>
  <c r="P70" i="9"/>
  <c r="P68" i="9"/>
  <c r="A67" i="9"/>
  <c r="P66" i="9"/>
  <c r="A69" i="9"/>
  <c r="N65" i="9"/>
  <c r="O63" i="9"/>
  <c r="P72" i="9" l="1"/>
  <c r="P74" i="9"/>
  <c r="A73" i="9"/>
  <c r="A74" i="9"/>
  <c r="A76" i="9"/>
  <c r="P76" i="9" s="1"/>
  <c r="P71" i="9"/>
  <c r="K71" i="9"/>
  <c r="M75" i="9" s="1"/>
  <c r="P75" i="9"/>
  <c r="A72" i="9"/>
  <c r="M70" i="9"/>
  <c r="L66" i="9"/>
  <c r="N66" i="9" s="1"/>
  <c r="N67" i="9" s="1"/>
  <c r="N68" i="9" s="1"/>
  <c r="N70" i="9" s="1"/>
  <c r="M68" i="9"/>
  <c r="P80" i="9" l="1"/>
  <c r="K76" i="9"/>
  <c r="M76" i="9" s="1"/>
  <c r="P77" i="9"/>
  <c r="A77" i="9"/>
  <c r="P78" i="9"/>
  <c r="A79" i="9"/>
  <c r="P79" i="9"/>
  <c r="A81" i="9"/>
  <c r="P85" i="9" s="1"/>
  <c r="A78" i="9"/>
  <c r="M73" i="9"/>
  <c r="L71" i="9"/>
  <c r="N71" i="9" s="1"/>
  <c r="N72" i="9" s="1"/>
  <c r="N73" i="9" s="1"/>
  <c r="O73" i="9" s="1"/>
  <c r="M71" i="9"/>
  <c r="O68" i="9"/>
  <c r="L76" i="9" l="1"/>
  <c r="N76" i="9" s="1"/>
  <c r="N77" i="9" s="1"/>
  <c r="N78" i="9" s="1"/>
  <c r="N80" i="9" s="1"/>
  <c r="M80" i="9"/>
  <c r="M78" i="9"/>
  <c r="A84" i="9"/>
  <c r="A83" i="9"/>
  <c r="P81" i="9"/>
  <c r="A86" i="9"/>
  <c r="P88" i="9" s="1"/>
  <c r="P84" i="9"/>
  <c r="K81" i="9"/>
  <c r="L81" i="9" s="1"/>
  <c r="N81" i="9" s="1"/>
  <c r="N82" i="9" s="1"/>
  <c r="N83" i="9" s="1"/>
  <c r="P82" i="9"/>
  <c r="P83" i="9"/>
  <c r="A82" i="9"/>
  <c r="N75" i="9"/>
  <c r="A87" i="9" l="1"/>
  <c r="A89" i="9"/>
  <c r="P87" i="9"/>
  <c r="O78" i="9"/>
  <c r="P89" i="9"/>
  <c r="A91" i="9"/>
  <c r="P94" i="9" s="1"/>
  <c r="A88" i="9"/>
  <c r="P90" i="9"/>
  <c r="M81" i="9"/>
  <c r="K86" i="9"/>
  <c r="L86" i="9" s="1"/>
  <c r="N86" i="9" s="1"/>
  <c r="N87" i="9" s="1"/>
  <c r="N88" i="9" s="1"/>
  <c r="P86" i="9"/>
  <c r="M85" i="9"/>
  <c r="M83" i="9"/>
  <c r="N85" i="9"/>
  <c r="O83" i="9"/>
  <c r="P92" i="9" l="1"/>
  <c r="A92" i="9"/>
  <c r="K91" i="9"/>
  <c r="M93" i="9" s="1"/>
  <c r="A94" i="9"/>
  <c r="M90" i="9"/>
  <c r="M86" i="9"/>
  <c r="A96" i="9"/>
  <c r="P100" i="9" s="1"/>
  <c r="P91" i="9"/>
  <c r="P95" i="9"/>
  <c r="P93" i="9"/>
  <c r="A93" i="9"/>
  <c r="M88" i="9"/>
  <c r="N90" i="9"/>
  <c r="O88" i="9"/>
  <c r="A97" i="9" l="1"/>
  <c r="M91" i="9"/>
  <c r="M95" i="9"/>
  <c r="A99" i="9"/>
  <c r="P99" i="9"/>
  <c r="P98" i="9"/>
  <c r="L91" i="9"/>
  <c r="N91" i="9" s="1"/>
  <c r="N92" i="9" s="1"/>
  <c r="N93" i="9" s="1"/>
  <c r="K96" i="9"/>
  <c r="M96" i="9" s="1"/>
  <c r="A98" i="9"/>
  <c r="P96" i="9"/>
  <c r="A101" i="9"/>
  <c r="P101" i="9" s="1"/>
  <c r="P97" i="9"/>
  <c r="A104" i="9" l="1"/>
  <c r="P104" i="9"/>
  <c r="P102" i="9"/>
  <c r="L96" i="9"/>
  <c r="N96" i="9" s="1"/>
  <c r="N97" i="9" s="1"/>
  <c r="N98" i="9" s="1"/>
  <c r="N100" i="9" s="1"/>
  <c r="M98" i="9"/>
  <c r="P103" i="9"/>
  <c r="K101" i="9"/>
  <c r="M101" i="9" s="1"/>
  <c r="A103" i="9"/>
  <c r="P105" i="9"/>
  <c r="M100" i="9"/>
  <c r="A106" i="9"/>
  <c r="P108" i="9" s="1"/>
  <c r="A102" i="9"/>
  <c r="N95" i="9"/>
  <c r="O93" i="9"/>
  <c r="K106" i="9" l="1"/>
  <c r="M110" i="9" s="1"/>
  <c r="O98" i="9"/>
  <c r="M105" i="9"/>
  <c r="L101" i="9"/>
  <c r="N101" i="9" s="1"/>
  <c r="N102" i="9" s="1"/>
  <c r="N103" i="9" s="1"/>
  <c r="N105" i="9" s="1"/>
  <c r="A111" i="9"/>
  <c r="P112" i="9" s="1"/>
  <c r="M103" i="9"/>
  <c r="A109" i="9"/>
  <c r="A107" i="9"/>
  <c r="P109" i="9"/>
  <c r="P110" i="9"/>
  <c r="A108" i="9"/>
  <c r="P106" i="9"/>
  <c r="P107" i="9"/>
  <c r="O103" i="9" l="1"/>
  <c r="A114" i="9"/>
  <c r="L106" i="9"/>
  <c r="N106" i="9" s="1"/>
  <c r="N107" i="9" s="1"/>
  <c r="N108" i="9" s="1"/>
  <c r="M108" i="9"/>
  <c r="M106" i="9"/>
  <c r="P114" i="9"/>
  <c r="A112" i="9"/>
  <c r="P115" i="9"/>
  <c r="A116" i="9"/>
  <c r="P120" i="9" s="1"/>
  <c r="P111" i="9"/>
  <c r="A113" i="9"/>
  <c r="K111" i="9"/>
  <c r="M111" i="9" s="1"/>
  <c r="P113" i="9"/>
  <c r="A121" i="9" l="1"/>
  <c r="P121" i="9" s="1"/>
  <c r="P117" i="9"/>
  <c r="A117" i="9"/>
  <c r="A118" i="9"/>
  <c r="K116" i="9"/>
  <c r="M116" i="9" s="1"/>
  <c r="A119" i="9"/>
  <c r="P116" i="9"/>
  <c r="P119" i="9"/>
  <c r="P118" i="9"/>
  <c r="L111" i="9"/>
  <c r="N111" i="9" s="1"/>
  <c r="N112" i="9" s="1"/>
  <c r="N113" i="9" s="1"/>
  <c r="N115" i="9" s="1"/>
  <c r="M113" i="9"/>
  <c r="M115" i="9"/>
  <c r="N110" i="9"/>
  <c r="O108" i="9"/>
  <c r="P124" i="9" l="1"/>
  <c r="P122" i="9"/>
  <c r="P123" i="9"/>
  <c r="K121" i="9"/>
  <c r="M125" i="9" s="1"/>
  <c r="M118" i="9"/>
  <c r="A122" i="9"/>
  <c r="A123" i="9"/>
  <c r="P125" i="9"/>
  <c r="A126" i="9"/>
  <c r="P128" i="9" s="1"/>
  <c r="A124" i="9"/>
  <c r="M120" i="9"/>
  <c r="L116" i="9"/>
  <c r="N116" i="9" s="1"/>
  <c r="N117" i="9" s="1"/>
  <c r="N118" i="9" s="1"/>
  <c r="O113" i="9"/>
  <c r="A127" i="9" l="1"/>
  <c r="L121" i="9"/>
  <c r="N121" i="9" s="1"/>
  <c r="N122" i="9" s="1"/>
  <c r="N123" i="9" s="1"/>
  <c r="M123" i="9"/>
  <c r="M121" i="9"/>
  <c r="A128" i="9"/>
  <c r="P127" i="9"/>
  <c r="K126" i="9"/>
  <c r="M128" i="9" s="1"/>
  <c r="P130" i="9"/>
  <c r="A129" i="9"/>
  <c r="P126" i="9"/>
  <c r="A131" i="9"/>
  <c r="P135" i="9" s="1"/>
  <c r="P129" i="9"/>
  <c r="O118" i="9"/>
  <c r="N120" i="9"/>
  <c r="K131" i="9" l="1"/>
  <c r="M135" i="9" s="1"/>
  <c r="P134" i="9"/>
  <c r="M126" i="9"/>
  <c r="P132" i="9"/>
  <c r="A136" i="9"/>
  <c r="P139" i="9" s="1"/>
  <c r="M130" i="9"/>
  <c r="A132" i="9"/>
  <c r="L126" i="9"/>
  <c r="N126" i="9" s="1"/>
  <c r="N127" i="9" s="1"/>
  <c r="N128" i="9" s="1"/>
  <c r="P131" i="9"/>
  <c r="A134" i="9"/>
  <c r="P133" i="9"/>
  <c r="A133" i="9"/>
  <c r="N125" i="9"/>
  <c r="O123" i="9"/>
  <c r="P140" i="9" l="1"/>
  <c r="M133" i="9"/>
  <c r="K136" i="9"/>
  <c r="L136" i="9" s="1"/>
  <c r="N136" i="9" s="1"/>
  <c r="N137" i="9" s="1"/>
  <c r="N138" i="9" s="1"/>
  <c r="A141" i="9"/>
  <c r="P144" i="9" s="1"/>
  <c r="M131" i="9"/>
  <c r="A137" i="9"/>
  <c r="L131" i="9"/>
  <c r="N131" i="9" s="1"/>
  <c r="N132" i="9" s="1"/>
  <c r="N133" i="9" s="1"/>
  <c r="A139" i="9"/>
  <c r="P137" i="9"/>
  <c r="P136" i="9"/>
  <c r="P138" i="9"/>
  <c r="A138" i="9"/>
  <c r="O128" i="9"/>
  <c r="N130" i="9"/>
  <c r="A146" i="9" l="1"/>
  <c r="P150" i="9" s="1"/>
  <c r="A142" i="9"/>
  <c r="A143" i="9"/>
  <c r="P141" i="9"/>
  <c r="K141" i="9"/>
  <c r="L141" i="9" s="1"/>
  <c r="N141" i="9" s="1"/>
  <c r="A144" i="9"/>
  <c r="P142" i="9"/>
  <c r="P145" i="9"/>
  <c r="P143" i="9"/>
  <c r="M138" i="9"/>
  <c r="M136" i="9"/>
  <c r="M140" i="9"/>
  <c r="P148" i="9"/>
  <c r="O138" i="9"/>
  <c r="N140" i="9"/>
  <c r="O133" i="9"/>
  <c r="N135" i="9"/>
  <c r="P146" i="9" l="1"/>
  <c r="P147" i="9"/>
  <c r="A151" i="9"/>
  <c r="P152" i="9" s="1"/>
  <c r="A148" i="9"/>
  <c r="A147" i="9"/>
  <c r="K146" i="9"/>
  <c r="M148" i="9" s="1"/>
  <c r="P149" i="9"/>
  <c r="A149" i="9"/>
  <c r="M141" i="9"/>
  <c r="M145" i="9"/>
  <c r="M143" i="9"/>
  <c r="N142" i="9"/>
  <c r="N143" i="9" s="1"/>
  <c r="A156" i="9" l="1"/>
  <c r="P156" i="9" s="1"/>
  <c r="A153" i="9"/>
  <c r="P155" i="9"/>
  <c r="K151" i="9"/>
  <c r="M151" i="9" s="1"/>
  <c r="A152" i="9"/>
  <c r="P151" i="9"/>
  <c r="A154" i="9"/>
  <c r="P153" i="9"/>
  <c r="P154" i="9"/>
  <c r="M146" i="9"/>
  <c r="M150" i="9"/>
  <c r="L146" i="9"/>
  <c r="N146" i="9" s="1"/>
  <c r="N147" i="9" s="1"/>
  <c r="N148" i="9" s="1"/>
  <c r="N150" i="9" s="1"/>
  <c r="O143" i="9"/>
  <c r="N145" i="9"/>
  <c r="P157" i="9" l="1"/>
  <c r="P160" i="9"/>
  <c r="P158" i="9"/>
  <c r="A159" i="9"/>
  <c r="A158" i="9"/>
  <c r="P159" i="9"/>
  <c r="K156" i="9"/>
  <c r="M160" i="9" s="1"/>
  <c r="A161" i="9"/>
  <c r="P164" i="9" s="1"/>
  <c r="A157" i="9"/>
  <c r="M155" i="9"/>
  <c r="L151" i="9"/>
  <c r="N151" i="9" s="1"/>
  <c r="N152" i="9" s="1"/>
  <c r="N153" i="9" s="1"/>
  <c r="O153" i="9" s="1"/>
  <c r="M153" i="9"/>
  <c r="O148" i="9"/>
  <c r="M156" i="9" l="1"/>
  <c r="L156" i="9"/>
  <c r="N156" i="9" s="1"/>
  <c r="N157" i="9" s="1"/>
  <c r="N158" i="9" s="1"/>
  <c r="O158" i="9" s="1"/>
  <c r="A166" i="9"/>
  <c r="P168" i="9" s="1"/>
  <c r="M158" i="9"/>
  <c r="K161" i="9"/>
  <c r="M163" i="9" s="1"/>
  <c r="A162" i="9"/>
  <c r="P165" i="9"/>
  <c r="A163" i="9"/>
  <c r="P161" i="9"/>
  <c r="A164" i="9"/>
  <c r="P162" i="9"/>
  <c r="P163" i="9"/>
  <c r="N155" i="9"/>
  <c r="A167" i="9" l="1"/>
  <c r="M165" i="9"/>
  <c r="P169" i="9"/>
  <c r="A171" i="9"/>
  <c r="P175" i="9" s="1"/>
  <c r="A168" i="9"/>
  <c r="P167" i="9"/>
  <c r="L161" i="9"/>
  <c r="N161" i="9" s="1"/>
  <c r="N162" i="9" s="1"/>
  <c r="N163" i="9" s="1"/>
  <c r="N165" i="9" s="1"/>
  <c r="M161" i="9"/>
  <c r="K166" i="9"/>
  <c r="M168" i="9" s="1"/>
  <c r="A169" i="9"/>
  <c r="P166" i="9"/>
  <c r="P170" i="9"/>
  <c r="N160" i="9"/>
  <c r="P172" i="9" l="1"/>
  <c r="K171" i="9"/>
  <c r="M171" i="9" s="1"/>
  <c r="P173" i="9"/>
  <c r="A173" i="9"/>
  <c r="P171" i="9"/>
  <c r="A176" i="9"/>
  <c r="P176" i="9" s="1"/>
  <c r="A172" i="9"/>
  <c r="A174" i="9"/>
  <c r="P174" i="9"/>
  <c r="M170" i="9"/>
  <c r="M166" i="9"/>
  <c r="O163" i="9"/>
  <c r="L166" i="9"/>
  <c r="N166" i="9" s="1"/>
  <c r="N167" i="9" s="1"/>
  <c r="N168" i="9" s="1"/>
  <c r="P180" i="9"/>
  <c r="M175" i="9" l="1"/>
  <c r="M173" i="9"/>
  <c r="L171" i="9"/>
  <c r="N171" i="9" s="1"/>
  <c r="N172" i="9" s="1"/>
  <c r="N173" i="9" s="1"/>
  <c r="O173" i="9" s="1"/>
  <c r="A181" i="9"/>
  <c r="P183" i="9" s="1"/>
  <c r="P177" i="9"/>
  <c r="A177" i="9"/>
  <c r="P179" i="9"/>
  <c r="K176" i="9"/>
  <c r="M176" i="9" s="1"/>
  <c r="A179" i="9"/>
  <c r="A178" i="9"/>
  <c r="P178" i="9"/>
  <c r="P184" i="9"/>
  <c r="N170" i="9"/>
  <c r="O168" i="9"/>
  <c r="P181" i="9" l="1"/>
  <c r="L176" i="9"/>
  <c r="N176" i="9" s="1"/>
  <c r="N177" i="9" s="1"/>
  <c r="N178" i="9" s="1"/>
  <c r="O178" i="9" s="1"/>
  <c r="A186" i="9"/>
  <c r="P187" i="9" s="1"/>
  <c r="A184" i="9"/>
  <c r="P185" i="9"/>
  <c r="N175" i="9"/>
  <c r="K181" i="9"/>
  <c r="L181" i="9" s="1"/>
  <c r="N181" i="9" s="1"/>
  <c r="N182" i="9" s="1"/>
  <c r="N183" i="9" s="1"/>
  <c r="A183" i="9"/>
  <c r="A182" i="9"/>
  <c r="P182" i="9"/>
  <c r="M178" i="9"/>
  <c r="M180" i="9"/>
  <c r="P188" i="9"/>
  <c r="M183" i="9" l="1"/>
  <c r="P189" i="9"/>
  <c r="K186" i="9"/>
  <c r="M186" i="9" s="1"/>
  <c r="A189" i="9"/>
  <c r="P186" i="9"/>
  <c r="N180" i="9"/>
  <c r="A191" i="9"/>
  <c r="P195" i="9" s="1"/>
  <c r="A187" i="9"/>
  <c r="A188" i="9"/>
  <c r="P190" i="9"/>
  <c r="M185" i="9"/>
  <c r="M181" i="9"/>
  <c r="P192" i="9"/>
  <c r="N185" i="9"/>
  <c r="O183" i="9"/>
  <c r="M188" i="9" l="1"/>
  <c r="L186" i="9"/>
  <c r="N186" i="9" s="1"/>
  <c r="N187" i="9" s="1"/>
  <c r="N188" i="9" s="1"/>
  <c r="M190" i="9"/>
  <c r="A196" i="9"/>
  <c r="P196" i="9" s="1"/>
  <c r="P193" i="9"/>
  <c r="A194" i="9"/>
  <c r="P191" i="9"/>
  <c r="K191" i="9"/>
  <c r="M191" i="9" s="1"/>
  <c r="A192" i="9"/>
  <c r="A193" i="9"/>
  <c r="P194" i="9"/>
  <c r="P200" i="9"/>
  <c r="K196" i="9" l="1"/>
  <c r="M200" i="9" s="1"/>
  <c r="P197" i="9"/>
  <c r="A199" i="9"/>
  <c r="P199" i="9"/>
  <c r="A201" i="9"/>
  <c r="P204" i="9" s="1"/>
  <c r="L191" i="9"/>
  <c r="N191" i="9" s="1"/>
  <c r="N192" i="9" s="1"/>
  <c r="N193" i="9" s="1"/>
  <c r="A197" i="9"/>
  <c r="A198" i="9"/>
  <c r="P198" i="9"/>
  <c r="M193" i="9"/>
  <c r="M195" i="9"/>
  <c r="O188" i="9"/>
  <c r="N190" i="9"/>
  <c r="L196" i="9" l="1"/>
  <c r="N196" i="9" s="1"/>
  <c r="N197" i="9" s="1"/>
  <c r="N198" i="9" s="1"/>
  <c r="M196" i="9"/>
  <c r="M198" i="9"/>
  <c r="K201" i="9"/>
  <c r="M201" i="9" s="1"/>
  <c r="A202" i="9"/>
  <c r="A203" i="9"/>
  <c r="P201" i="9"/>
  <c r="P203" i="9"/>
  <c r="A206" i="9"/>
  <c r="P207" i="9" s="1"/>
  <c r="A204" i="9"/>
  <c r="P205" i="9"/>
  <c r="P202" i="9"/>
  <c r="N195" i="9"/>
  <c r="O193" i="9"/>
  <c r="P208" i="9" l="1"/>
  <c r="K206" i="9"/>
  <c r="M206" i="9" s="1"/>
  <c r="P206" i="9"/>
  <c r="L201" i="9"/>
  <c r="N201" i="9" s="1"/>
  <c r="N202" i="9" s="1"/>
  <c r="N203" i="9" s="1"/>
  <c r="M203" i="9"/>
  <c r="M205" i="9"/>
  <c r="A207" i="9"/>
  <c r="P210" i="9"/>
  <c r="A211" i="9"/>
  <c r="P215" i="9" s="1"/>
  <c r="A209" i="9"/>
  <c r="A208" i="9"/>
  <c r="P209" i="9"/>
  <c r="P212" i="9"/>
  <c r="O198" i="9"/>
  <c r="N200" i="9"/>
  <c r="M210" i="9" l="1"/>
  <c r="M208" i="9"/>
  <c r="L206" i="9"/>
  <c r="N206" i="9" s="1"/>
  <c r="N207" i="9" s="1"/>
  <c r="N208" i="9" s="1"/>
  <c r="A212" i="9"/>
  <c r="A216" i="9"/>
  <c r="P220" i="9" s="1"/>
  <c r="P213" i="9"/>
  <c r="P211" i="9"/>
  <c r="K211" i="9"/>
  <c r="M213" i="9" s="1"/>
  <c r="A213" i="9"/>
  <c r="A214" i="9"/>
  <c r="P214" i="9"/>
  <c r="N205" i="9"/>
  <c r="O203" i="9"/>
  <c r="A221" i="9" l="1"/>
  <c r="P223" i="9" s="1"/>
  <c r="A217" i="9"/>
  <c r="M211" i="9"/>
  <c r="P218" i="9"/>
  <c r="A218" i="9"/>
  <c r="P216" i="9"/>
  <c r="K216" i="9"/>
  <c r="M216" i="9" s="1"/>
  <c r="A219" i="9"/>
  <c r="P217" i="9"/>
  <c r="P219" i="9"/>
  <c r="M215" i="9"/>
  <c r="L211" i="9"/>
  <c r="N211" i="9" s="1"/>
  <c r="N212" i="9" s="1"/>
  <c r="N213" i="9" s="1"/>
  <c r="P224" i="9"/>
  <c r="O208" i="9"/>
  <c r="N210" i="9"/>
  <c r="A226" i="9" l="1"/>
  <c r="P228" i="9" s="1"/>
  <c r="P221" i="9"/>
  <c r="A223" i="9"/>
  <c r="P225" i="9"/>
  <c r="M220" i="9"/>
  <c r="K221" i="9"/>
  <c r="M223" i="9" s="1"/>
  <c r="A224" i="9"/>
  <c r="A222" i="9"/>
  <c r="P222" i="9"/>
  <c r="M218" i="9"/>
  <c r="L216" i="9"/>
  <c r="N216" i="9" s="1"/>
  <c r="N217" i="9" s="1"/>
  <c r="N218" i="9" s="1"/>
  <c r="N215" i="9"/>
  <c r="O213" i="9"/>
  <c r="A231" i="9" l="1"/>
  <c r="P235" i="9" s="1"/>
  <c r="A229" i="9"/>
  <c r="M221" i="9"/>
  <c r="P230" i="9"/>
  <c r="A228" i="9"/>
  <c r="P227" i="9"/>
  <c r="K226" i="9"/>
  <c r="M226" i="9" s="1"/>
  <c r="A227" i="9"/>
  <c r="P229" i="9"/>
  <c r="P226" i="9"/>
  <c r="M225" i="9"/>
  <c r="L221" i="9"/>
  <c r="N221" i="9" s="1"/>
  <c r="N222" i="9" s="1"/>
  <c r="N223" i="9" s="1"/>
  <c r="P232" i="9"/>
  <c r="O218" i="9"/>
  <c r="N220" i="9"/>
  <c r="A236" i="9" l="1"/>
  <c r="P240" i="9" s="1"/>
  <c r="P233" i="9"/>
  <c r="M230" i="9"/>
  <c r="A234" i="9"/>
  <c r="P231" i="9"/>
  <c r="K231" i="9"/>
  <c r="M235" i="9" s="1"/>
  <c r="A233" i="9"/>
  <c r="A232" i="9"/>
  <c r="P234" i="9"/>
  <c r="M228" i="9"/>
  <c r="L226" i="9"/>
  <c r="N226" i="9" s="1"/>
  <c r="N227" i="9" s="1"/>
  <c r="N228" i="9" s="1"/>
  <c r="O223" i="9"/>
  <c r="N225" i="9"/>
  <c r="M233" i="9"/>
  <c r="K236" i="9" l="1"/>
  <c r="M240" i="9" s="1"/>
  <c r="A239" i="9"/>
  <c r="A237" i="9"/>
  <c r="P238" i="9"/>
  <c r="P236" i="9"/>
  <c r="A241" i="9"/>
  <c r="P241" i="9" s="1"/>
  <c r="A238" i="9"/>
  <c r="P237" i="9"/>
  <c r="P239" i="9"/>
  <c r="L231" i="9"/>
  <c r="N231" i="9" s="1"/>
  <c r="N232" i="9" s="1"/>
  <c r="N233" i="9" s="1"/>
  <c r="M231" i="9"/>
  <c r="P245" i="9"/>
  <c r="P242" i="9"/>
  <c r="O228" i="9"/>
  <c r="N230" i="9"/>
  <c r="A246" i="9"/>
  <c r="M238" i="9" l="1"/>
  <c r="M236" i="9"/>
  <c r="A244" i="9"/>
  <c r="P244" i="9"/>
  <c r="L236" i="9"/>
  <c r="N236" i="9" s="1"/>
  <c r="N237" i="9" s="1"/>
  <c r="N238" i="9" s="1"/>
  <c r="K241" i="9"/>
  <c r="M243" i="9" s="1"/>
  <c r="A243" i="9"/>
  <c r="A242" i="9"/>
  <c r="P243" i="9"/>
  <c r="P250" i="9"/>
  <c r="P249" i="9"/>
  <c r="P248" i="9"/>
  <c r="P247" i="9"/>
  <c r="P246" i="9"/>
  <c r="A247" i="9"/>
  <c r="A249" i="9"/>
  <c r="A248" i="9"/>
  <c r="N235" i="9"/>
  <c r="O233" i="9"/>
  <c r="A251" i="9"/>
  <c r="K246" i="9"/>
  <c r="M241" i="9"/>
  <c r="M245" i="9" l="1"/>
  <c r="L241" i="9"/>
  <c r="N241" i="9" s="1"/>
  <c r="N242" i="9" s="1"/>
  <c r="N243" i="9" s="1"/>
  <c r="P254" i="9"/>
  <c r="P253" i="9"/>
  <c r="P252" i="9"/>
  <c r="P255" i="9"/>
  <c r="P251" i="9"/>
  <c r="A254" i="9"/>
  <c r="A253" i="9"/>
  <c r="A252" i="9"/>
  <c r="N240" i="9"/>
  <c r="O238" i="9"/>
  <c r="M248" i="9"/>
  <c r="L246" i="9"/>
  <c r="N246" i="9" s="1"/>
  <c r="M250" i="9"/>
  <c r="M246" i="9"/>
  <c r="K251" i="9"/>
  <c r="A256" i="9"/>
  <c r="P258" i="9" l="1"/>
  <c r="P257" i="9"/>
  <c r="P260" i="9"/>
  <c r="P256" i="9"/>
  <c r="P259" i="9"/>
  <c r="A258" i="9"/>
  <c r="A259" i="9"/>
  <c r="A257" i="9"/>
  <c r="M251" i="9"/>
  <c r="M253" i="9"/>
  <c r="M255" i="9"/>
  <c r="L251" i="9"/>
  <c r="N251" i="9" s="1"/>
  <c r="N252" i="9" s="1"/>
  <c r="N253" i="9" s="1"/>
  <c r="N245" i="9"/>
  <c r="O243" i="9"/>
  <c r="A261" i="9"/>
  <c r="K256" i="9"/>
  <c r="N247" i="9"/>
  <c r="N248" i="9" s="1"/>
  <c r="P262" i="9" l="1"/>
  <c r="P265" i="9"/>
  <c r="P261" i="9"/>
  <c r="P264" i="9"/>
  <c r="P263" i="9"/>
  <c r="A262" i="9"/>
  <c r="A264" i="9"/>
  <c r="A263" i="9"/>
  <c r="K261" i="9"/>
  <c r="A266" i="9"/>
  <c r="M256" i="9"/>
  <c r="M258" i="9"/>
  <c r="L256" i="9"/>
  <c r="N256" i="9" s="1"/>
  <c r="M260" i="9"/>
  <c r="O253" i="9"/>
  <c r="N255" i="9"/>
  <c r="O248" i="9"/>
  <c r="N250" i="9"/>
  <c r="P270" i="9" l="1"/>
  <c r="P266" i="9"/>
  <c r="P269" i="9"/>
  <c r="P268" i="9"/>
  <c r="P267" i="9"/>
  <c r="A269" i="9"/>
  <c r="A268" i="9"/>
  <c r="A267" i="9"/>
  <c r="N257" i="9"/>
  <c r="N258" i="9" s="1"/>
  <c r="M263" i="9"/>
  <c r="L261" i="9"/>
  <c r="N261" i="9" s="1"/>
  <c r="N262" i="9" s="1"/>
  <c r="N263" i="9" s="1"/>
  <c r="M265" i="9"/>
  <c r="M261" i="9"/>
  <c r="A271" i="9"/>
  <c r="K266" i="9"/>
  <c r="P274" i="9" l="1"/>
  <c r="P273" i="9"/>
  <c r="P272" i="9"/>
  <c r="P275" i="9"/>
  <c r="P271" i="9"/>
  <c r="A273" i="9"/>
  <c r="A274" i="9"/>
  <c r="A272" i="9"/>
  <c r="N260" i="9"/>
  <c r="O258" i="9"/>
  <c r="O263" i="9"/>
  <c r="N265" i="9"/>
  <c r="M270" i="9"/>
  <c r="M268" i="9"/>
  <c r="L266" i="9"/>
  <c r="N266" i="9" s="1"/>
  <c r="M266" i="9"/>
  <c r="A276" i="9"/>
  <c r="K271" i="9"/>
  <c r="P278" i="9" l="1"/>
  <c r="P277" i="9"/>
  <c r="P280" i="9"/>
  <c r="P276" i="9"/>
  <c r="P279" i="9"/>
  <c r="A279" i="9"/>
  <c r="A278" i="9"/>
  <c r="A277" i="9"/>
  <c r="N267" i="9"/>
  <c r="N268" i="9" s="1"/>
  <c r="M275" i="9"/>
  <c r="L271" i="9"/>
  <c r="N271" i="9" s="1"/>
  <c r="N272" i="9" s="1"/>
  <c r="N273" i="9" s="1"/>
  <c r="M271" i="9"/>
  <c r="M273" i="9"/>
  <c r="K276" i="9"/>
  <c r="A281" i="9"/>
  <c r="P282" i="9" l="1"/>
  <c r="P285" i="9"/>
  <c r="P281" i="9"/>
  <c r="P284" i="9"/>
  <c r="P283" i="9"/>
  <c r="A282" i="9"/>
  <c r="A283" i="9"/>
  <c r="A284" i="9"/>
  <c r="O268" i="9"/>
  <c r="N270" i="9"/>
  <c r="M276" i="9"/>
  <c r="M278" i="9"/>
  <c r="L276" i="9"/>
  <c r="N276" i="9" s="1"/>
  <c r="M280" i="9"/>
  <c r="O273" i="9"/>
  <c r="N275" i="9"/>
  <c r="A286" i="9"/>
  <c r="K281" i="9"/>
  <c r="P290" i="9" l="1"/>
  <c r="P286" i="9"/>
  <c r="P289" i="9"/>
  <c r="P288" i="9"/>
  <c r="P287" i="9"/>
  <c r="A287" i="9"/>
  <c r="A288" i="9"/>
  <c r="A289" i="9"/>
  <c r="A291" i="9"/>
  <c r="K286" i="9"/>
  <c r="N277" i="9"/>
  <c r="N278" i="9" s="1"/>
  <c r="M285" i="9"/>
  <c r="L281" i="9"/>
  <c r="N281" i="9" s="1"/>
  <c r="M281" i="9"/>
  <c r="M283" i="9"/>
  <c r="P294" i="9" l="1"/>
  <c r="P293" i="9"/>
  <c r="P292" i="9"/>
  <c r="P295" i="9"/>
  <c r="P291" i="9"/>
  <c r="A292" i="9"/>
  <c r="A294" i="9"/>
  <c r="A293" i="9"/>
  <c r="N280" i="9"/>
  <c r="O278" i="9"/>
  <c r="N282" i="9"/>
  <c r="N283" i="9" s="1"/>
  <c r="M288" i="9"/>
  <c r="L286" i="9"/>
  <c r="N286" i="9" s="1"/>
  <c r="N287" i="9" s="1"/>
  <c r="N288" i="9" s="1"/>
  <c r="M290" i="9"/>
  <c r="M286" i="9"/>
  <c r="K291" i="9"/>
  <c r="A296" i="9"/>
  <c r="P298" i="9" l="1"/>
  <c r="P297" i="9"/>
  <c r="P300" i="9"/>
  <c r="P296" i="9"/>
  <c r="P299" i="9"/>
  <c r="A299" i="9"/>
  <c r="A298" i="9"/>
  <c r="A297" i="9"/>
  <c r="N285" i="9"/>
  <c r="O283" i="9"/>
  <c r="M295" i="9"/>
  <c r="L291" i="9"/>
  <c r="N291" i="9" s="1"/>
  <c r="N292" i="9" s="1"/>
  <c r="N293" i="9" s="1"/>
  <c r="M291" i="9"/>
  <c r="M293" i="9"/>
  <c r="A301" i="9"/>
  <c r="K296" i="9"/>
  <c r="N290" i="9"/>
  <c r="O288" i="9"/>
  <c r="P302" i="9" l="1"/>
  <c r="P305" i="9"/>
  <c r="P301" i="9"/>
  <c r="P304" i="9"/>
  <c r="P303" i="9"/>
  <c r="A303" i="9"/>
  <c r="A302" i="9"/>
  <c r="A304" i="9"/>
  <c r="O293" i="9"/>
  <c r="N295" i="9"/>
  <c r="M298" i="9"/>
  <c r="L296" i="9"/>
  <c r="N296" i="9" s="1"/>
  <c r="M300" i="9"/>
  <c r="M296" i="9"/>
  <c r="K301" i="9"/>
  <c r="A306" i="9"/>
  <c r="P310" i="9" l="1"/>
  <c r="P306" i="9"/>
  <c r="P309" i="9"/>
  <c r="P308" i="9"/>
  <c r="P307" i="9"/>
  <c r="A308" i="9"/>
  <c r="A309" i="9"/>
  <c r="A307" i="9"/>
  <c r="N297" i="9"/>
  <c r="N298" i="9" s="1"/>
  <c r="K306" i="9"/>
  <c r="A311" i="9"/>
  <c r="M305" i="9"/>
  <c r="L301" i="9"/>
  <c r="N301" i="9" s="1"/>
  <c r="M301" i="9"/>
  <c r="M303" i="9"/>
  <c r="P314" i="9" l="1"/>
  <c r="P313" i="9"/>
  <c r="P312" i="9"/>
  <c r="P315" i="9"/>
  <c r="P311" i="9"/>
  <c r="A314" i="9"/>
  <c r="A312" i="9"/>
  <c r="A313" i="9"/>
  <c r="N300" i="9"/>
  <c r="O298" i="9"/>
  <c r="M306" i="9"/>
  <c r="M308" i="9"/>
  <c r="L306" i="9"/>
  <c r="N306" i="9" s="1"/>
  <c r="M310" i="9"/>
  <c r="N302" i="9"/>
  <c r="N303" i="9" s="1"/>
  <c r="A316" i="9"/>
  <c r="K311" i="9"/>
  <c r="P318" i="9" l="1"/>
  <c r="P317" i="9"/>
  <c r="P320" i="9"/>
  <c r="P316" i="9"/>
  <c r="P319" i="9"/>
  <c r="A319" i="9"/>
  <c r="A318" i="9"/>
  <c r="A317" i="9"/>
  <c r="N305" i="9"/>
  <c r="O303" i="9"/>
  <c r="M315" i="9"/>
  <c r="M313" i="9"/>
  <c r="L311" i="9"/>
  <c r="N311" i="9" s="1"/>
  <c r="M311" i="9"/>
  <c r="A321" i="9"/>
  <c r="K316" i="9"/>
  <c r="N307" i="9"/>
  <c r="N308" i="9" s="1"/>
  <c r="P322" i="9" l="1"/>
  <c r="P325" i="9"/>
  <c r="P321" i="9"/>
  <c r="P324" i="9"/>
  <c r="P323" i="9"/>
  <c r="K321" i="9"/>
  <c r="A322" i="9"/>
  <c r="A324" i="9"/>
  <c r="A323" i="9"/>
  <c r="O308" i="9"/>
  <c r="N310" i="9"/>
  <c r="M318" i="9"/>
  <c r="M320" i="9"/>
  <c r="L316" i="9"/>
  <c r="N316" i="9" s="1"/>
  <c r="M316" i="9"/>
  <c r="A326" i="9"/>
  <c r="N312" i="9"/>
  <c r="N313" i="9" s="1"/>
  <c r="P330" i="9" l="1"/>
  <c r="P326" i="9"/>
  <c r="P329" i="9"/>
  <c r="P328" i="9"/>
  <c r="P327" i="9"/>
  <c r="K326" i="9"/>
  <c r="A329" i="9"/>
  <c r="A327" i="9"/>
  <c r="A328" i="9"/>
  <c r="N315" i="9"/>
  <c r="O313" i="9"/>
  <c r="M323" i="9"/>
  <c r="L321" i="9"/>
  <c r="N321" i="9" s="1"/>
  <c r="M325" i="9"/>
  <c r="M321" i="9"/>
  <c r="N317" i="9"/>
  <c r="N318" i="9" s="1"/>
  <c r="O318" i="9" l="1"/>
  <c r="N320" i="9"/>
  <c r="N322" i="9"/>
  <c r="N323" i="9" s="1"/>
  <c r="M328" i="9"/>
  <c r="M330" i="9"/>
  <c r="L326" i="9"/>
  <c r="N326" i="9" s="1"/>
  <c r="M326" i="9"/>
  <c r="O323" i="9" l="1"/>
  <c r="N325" i="9"/>
  <c r="N327" i="9"/>
  <c r="N328" i="9" s="1"/>
  <c r="O328" i="9" l="1"/>
  <c r="L332" i="9" s="1"/>
  <c r="N330" i="9"/>
  <c r="N332" i="9" l="1"/>
  <c r="L335" i="9" l="1"/>
  <c r="N335" i="9" s="1"/>
  <c r="L333" i="9"/>
  <c r="N333" i="9" s="1"/>
  <c r="L334" i="9"/>
  <c r="N334" i="9" s="1"/>
</calcChain>
</file>

<file path=xl/comments1.xml><?xml version="1.0" encoding="utf-8"?>
<comments xmlns="http://schemas.openxmlformats.org/spreadsheetml/2006/main">
  <authors>
    <author>Axvl</author>
  </authors>
  <commentList>
    <comment ref="A1" authorId="0">
      <text>
        <r>
          <rPr>
            <b/>
            <sz val="9"/>
            <color indexed="81"/>
            <rFont val="Tahoma"/>
            <family val="2"/>
          </rPr>
          <t>Right Click on the PDF file, go to security tab and copy path.</t>
        </r>
      </text>
    </comment>
    <comment ref="A2" authorId="0">
      <text>
        <r>
          <rPr>
            <b/>
            <sz val="9"/>
            <color indexed="81"/>
            <rFont val="Tahoma"/>
            <family val="2"/>
          </rPr>
          <t>Go to My Computer/C:/Program Files/Adobe/Reader 10.0 (your version is fine)/Reader/AcrodRd32 
Make sure the AcrodRd32 is the .exe (application file), right click on it, security tab, copy path.</t>
        </r>
      </text>
    </comment>
  </commentList>
</comments>
</file>

<file path=xl/sharedStrings.xml><?xml version="1.0" encoding="utf-8"?>
<sst xmlns="http://schemas.openxmlformats.org/spreadsheetml/2006/main" count="1655" uniqueCount="154">
  <si>
    <t xml:space="preserve"> </t>
  </si>
  <si>
    <t>Job_ID</t>
  </si>
  <si>
    <t>Employer</t>
  </si>
  <si>
    <t>RT Person</t>
  </si>
  <si>
    <t>Pay roll</t>
  </si>
  <si>
    <t>RT Location</t>
  </si>
  <si>
    <t>Pension</t>
  </si>
  <si>
    <t>Date</t>
  </si>
  <si>
    <t>Training Trust</t>
  </si>
  <si>
    <t>Health&amp;Welfare</t>
  </si>
  <si>
    <t>Path to PDF File</t>
  </si>
  <si>
    <t>Path to Shell Command</t>
  </si>
  <si>
    <t>rate:</t>
  </si>
  <si>
    <t>reg</t>
  </si>
  <si>
    <t>ot</t>
  </si>
  <si>
    <t>dt</t>
  </si>
  <si>
    <t>show</t>
  </si>
  <si>
    <t>sh</t>
  </si>
  <si>
    <t>THEATRICAL STAGE EMPLOYEES LOCAL #16 I.A.T.S.E. PAYROLL SHEET</t>
  </si>
  <si>
    <t xml:space="preserve">head </t>
  </si>
  <si>
    <t>foreman</t>
  </si>
  <si>
    <t>Cont Coord</t>
  </si>
  <si>
    <t>415/441-6400</t>
  </si>
  <si>
    <t>extra</t>
  </si>
  <si>
    <t>shop ex</t>
  </si>
  <si>
    <t>Asst Coord</t>
  </si>
  <si>
    <t xml:space="preserve">240 SECOND ST. </t>
  </si>
  <si>
    <t>JOB:</t>
  </si>
  <si>
    <t>followspot</t>
  </si>
  <si>
    <t>Mechanic</t>
  </si>
  <si>
    <t>SAN FRANCISCO, CA 94105</t>
  </si>
  <si>
    <t>LOCATION:</t>
  </si>
  <si>
    <t>a/v</t>
  </si>
  <si>
    <t>Bench Hand</t>
  </si>
  <si>
    <t>REPORT TO:</t>
  </si>
  <si>
    <t>a/v stew</t>
  </si>
  <si>
    <t>yerba buena hse</t>
  </si>
  <si>
    <t>General</t>
  </si>
  <si>
    <t>COMPANY:</t>
  </si>
  <si>
    <t>START DATE:</t>
  </si>
  <si>
    <t>a/v camera</t>
  </si>
  <si>
    <t>yerba buena forum</t>
  </si>
  <si>
    <t>PAYROLL COMPANY:</t>
  </si>
  <si>
    <t>END DATE:</t>
  </si>
  <si>
    <t>a/v multi</t>
  </si>
  <si>
    <t>yerba buena extra</t>
  </si>
  <si>
    <t>head high</t>
  </si>
  <si>
    <t>NAME:</t>
  </si>
  <si>
    <t>DATE</t>
  </si>
  <si>
    <t>NO.</t>
  </si>
  <si>
    <t>RATE</t>
  </si>
  <si>
    <t>EXTENSION</t>
  </si>
  <si>
    <t>TOTALS</t>
  </si>
  <si>
    <t>extra high</t>
  </si>
  <si>
    <t>REG.</t>
  </si>
  <si>
    <t>O.T.</t>
  </si>
  <si>
    <t>VACATION 8%:</t>
  </si>
  <si>
    <t>D.T.</t>
  </si>
  <si>
    <t>SHOW</t>
  </si>
  <si>
    <t>LAST 4 SS#</t>
  </si>
  <si>
    <t>M.P.</t>
  </si>
  <si>
    <t>IN ADDITION TO THE ABOVE WAGES, PAY THE FOLLOWING BY SEPARATE CHECKS:</t>
  </si>
  <si>
    <t>=</t>
  </si>
  <si>
    <t>MAIL ALL CHECKS TO ABOVE ADDRESS CARE OF STEVE LUTGE, Secretary</t>
  </si>
  <si>
    <t>$</t>
  </si>
  <si>
    <t/>
  </si>
  <si>
    <t>Wage</t>
  </si>
  <si>
    <t>#</t>
  </si>
  <si>
    <t>First Name</t>
  </si>
  <si>
    <t>Last Name</t>
  </si>
  <si>
    <t>Number of slots required</t>
  </si>
  <si>
    <t>Position</t>
  </si>
  <si>
    <t>Date Reference</t>
  </si>
  <si>
    <t>A</t>
  </si>
  <si>
    <t>B</t>
  </si>
  <si>
    <t>C</t>
  </si>
  <si>
    <t>D</t>
  </si>
  <si>
    <t>Select Report</t>
  </si>
  <si>
    <t>H&amp;W</t>
  </si>
  <si>
    <t>Work Fee</t>
  </si>
  <si>
    <t>Training</t>
  </si>
  <si>
    <t>E</t>
  </si>
  <si>
    <t>Which Row to Hide</t>
  </si>
  <si>
    <t>NO</t>
  </si>
  <si>
    <t>Month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</si>
  <si>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</si>
  <si>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</si>
  <si>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</si>
  <si>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</si>
  <si>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</si>
  <si>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</si>
  <si>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</si>
  <si>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</si>
  <si>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</si>
  <si>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</si>
  <si>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</si>
  <si>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</si>
  <si>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Month #</t>
  </si>
  <si>
    <t>Day</t>
  </si>
  <si>
    <t>Year</t>
  </si>
  <si>
    <t>YES/NO</t>
  </si>
  <si>
    <t>Date value</t>
  </si>
  <si>
    <t>02</t>
  </si>
  <si>
    <t>03</t>
  </si>
  <si>
    <t>01</t>
  </si>
  <si>
    <t>04</t>
  </si>
  <si>
    <t>05</t>
  </si>
  <si>
    <t>06</t>
  </si>
  <si>
    <t>07</t>
  </si>
  <si>
    <t>08</t>
  </si>
  <si>
    <t>09</t>
  </si>
  <si>
    <t>1,</t>
  </si>
  <si>
    <t>2,</t>
  </si>
  <si>
    <t>3,</t>
  </si>
  <si>
    <t>4,</t>
  </si>
  <si>
    <t>5,</t>
  </si>
  <si>
    <t>6,</t>
  </si>
  <si>
    <t>7,</t>
  </si>
  <si>
    <t>8,</t>
  </si>
  <si>
    <t>9,</t>
  </si>
  <si>
    <t>10,</t>
  </si>
  <si>
    <t>11,</t>
  </si>
  <si>
    <t>12,</t>
  </si>
  <si>
    <t>13,</t>
  </si>
  <si>
    <t>14,</t>
  </si>
  <si>
    <t>15,</t>
  </si>
  <si>
    <t>16,</t>
  </si>
  <si>
    <t>17,</t>
  </si>
  <si>
    <t>18,</t>
  </si>
  <si>
    <t>19,</t>
  </si>
  <si>
    <t>20,</t>
  </si>
  <si>
    <t>21,</t>
  </si>
  <si>
    <t>22,</t>
  </si>
  <si>
    <t>23,</t>
  </si>
  <si>
    <t>24,</t>
  </si>
  <si>
    <t>25,</t>
  </si>
  <si>
    <t>26,</t>
  </si>
  <si>
    <t>27,</t>
  </si>
  <si>
    <t>28,</t>
  </si>
  <si>
    <t>29,</t>
  </si>
  <si>
    <t>30,</t>
  </si>
  <si>
    <t>31,</t>
  </si>
  <si>
    <t>01,</t>
  </si>
  <si>
    <t>02,</t>
  </si>
  <si>
    <t>03,</t>
  </si>
  <si>
    <t>04,</t>
  </si>
  <si>
    <t>05,</t>
  </si>
  <si>
    <t>06,</t>
  </si>
  <si>
    <t>07,</t>
  </si>
  <si>
    <t>08,</t>
  </si>
  <si>
    <t>09,</t>
  </si>
  <si>
    <t xml:space="preserve"> Tuesday  October 28, 2013 </t>
  </si>
  <si>
    <t>C:\Program Files (x86)\Adobe\Reader 11.0\Reader\AcroRd32.exe</t>
  </si>
  <si>
    <t>D:\D.Dropbox\Dropbox\Work\0342.pdf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</si>
</sst>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7" formatCode="&quot;$&quot;#,##0.00_);\(&quot;$&quot;#,##0.00\)"/>
    <numFmt numFmtId="164" formatCode="m/d"/>
    <numFmt numFmtId="165" formatCode="mmm"/>
    <numFmt numFmtId="166" formatCode="ddd"/>
    <numFmt numFmtId="167" formatCode="d"/>
    <numFmt numFmtId="168" formatCode="0.0%"/>
    <numFmt numFmtId="169" formatCode="[$-F800]dddd\,\ mmmm\ dd\,\ yyyy"/>
  </numFmts>
  <fonts count="12">
    <font>
      <sz val="11"/>
      <color theme="1"/>
      <name val="Calibri"/>
      <family val="2"/>
      <scheme val="minor"/>
    </font>
    <font>
      <sz val="11"/>
      <color rgb="FF555555"/>
      <name val="Arial"/>
      <family val="2"/>
    </font>
    <font>
      <b/>
      <sz val="11"/>
      <color theme="0"/>
      <name val="Calibri"/>
      <family val="2"/>
      <scheme val="minor"/>
    </font>
    <font>
      <sz val="10"/>
      <name val="Geneva"/>
    </font>
    <font>
      <sz val="9"/>
      <name val="Geneva"/>
    </font>
    <font>
      <b/>
      <sz val="9"/>
      <name val="Geneva"/>
    </font>
    <font>
      <b/>
      <sz val="9"/>
      <color indexed="81"/>
      <name val="Tahoma"/>
      <family val="2"/>
    </font>
    <font>
      <sz val="11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Geneva"/>
    </font>
  </fonts>
  <fills count="8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0" tint="-0.249977111117893"/>
        <bgColor indexed="64"/>
      </patternFill>
    </fill>
  </fills>
  <borders count="27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3"/>
      </left>
      <right style="thin">
        <color theme="3"/>
      </right>
      <top style="thin">
        <color theme="3"/>
      </top>
      <bottom style="thin">
        <color theme="3"/>
      </bottom>
      <diagonal/>
    </border>
    <border>
      <left style="thin">
        <color rgb="FFFF0000"/>
      </left>
      <right style="thin">
        <color rgb="FFFF0000"/>
      </right>
      <top style="thin">
        <color rgb="FFFF0000"/>
      </top>
      <bottom style="thin">
        <color rgb="FFFF000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rgb="FFFF0000"/>
      </left>
      <right style="thin">
        <color rgb="FFFF0000"/>
      </right>
      <top style="medium">
        <color rgb="FFFF0000"/>
      </top>
      <bottom style="thin">
        <color rgb="FFFF0000"/>
      </bottom>
      <diagonal/>
    </border>
    <border>
      <left style="thin">
        <color rgb="FFFF0000"/>
      </left>
      <right style="thin">
        <color rgb="FFFF0000"/>
      </right>
      <top style="medium">
        <color rgb="FFFF0000"/>
      </top>
      <bottom style="thin">
        <color rgb="FFFF0000"/>
      </bottom>
      <diagonal/>
    </border>
    <border>
      <left style="medium">
        <color rgb="FFFF0000"/>
      </left>
      <right style="thin">
        <color rgb="FFFF0000"/>
      </right>
      <top style="thin">
        <color rgb="FFFF0000"/>
      </top>
      <bottom style="medium">
        <color rgb="FFFF0000"/>
      </bottom>
      <diagonal/>
    </border>
    <border>
      <left style="thin">
        <color rgb="FFFF0000"/>
      </left>
      <right style="thin">
        <color rgb="FFFF0000"/>
      </right>
      <top style="thin">
        <color rgb="FFFF0000"/>
      </top>
      <bottom style="medium">
        <color rgb="FFFF0000"/>
      </bottom>
      <diagonal/>
    </border>
    <border>
      <left style="thin">
        <color rgb="FFFF0000"/>
      </left>
      <right/>
      <top/>
      <bottom/>
      <diagonal/>
    </border>
    <border>
      <left style="thin">
        <color rgb="FFFF0000"/>
      </left>
      <right/>
      <top style="medium">
        <color rgb="FFFF0000"/>
      </top>
      <bottom style="thin">
        <color rgb="FFFF0000"/>
      </bottom>
      <diagonal/>
    </border>
    <border>
      <left style="thin">
        <color rgb="FFFF0000"/>
      </left>
      <right/>
      <top style="thin">
        <color rgb="FFFF0000"/>
      </top>
      <bottom style="medium">
        <color rgb="FFFF0000"/>
      </bottom>
      <diagonal/>
    </border>
  </borders>
  <cellStyleXfs count="3">
    <xf numFmtId="0" fontId="0" fillId="0" borderId="0"/>
    <xf numFmtId="0" fontId="3" fillId="0" borderId="0"/>
    <xf numFmtId="9" fontId="9" fillId="0" borderId="0" applyFont="0" applyFill="0" applyBorder="0" applyAlignment="0" applyProtection="0"/>
  </cellStyleXfs>
  <cellXfs count="150">
    <xf numFmtId="0" fontId="0" fillId="0" borderId="0" xfId="0"/>
    <xf numFmtId="0" fontId="3" fillId="0" borderId="2" xfId="1" applyFill="1" applyBorder="1" applyAlignment="1" applyProtection="1">
      <alignment horizontal="center"/>
      <protection hidden="1"/>
    </xf>
    <xf numFmtId="166" fontId="5" fillId="0" borderId="3" xfId="1" applyNumberFormat="1" applyFont="1" applyFill="1" applyBorder="1" applyAlignment="1" applyProtection="1">
      <alignment horizontal="center"/>
      <protection hidden="1"/>
    </xf>
    <xf numFmtId="49" fontId="5" fillId="0" borderId="1" xfId="1" applyNumberFormat="1" applyFont="1" applyFill="1" applyBorder="1" applyAlignment="1" applyProtection="1">
      <alignment horizontal="center"/>
      <protection hidden="1"/>
    </xf>
    <xf numFmtId="0" fontId="5" fillId="0" borderId="4" xfId="1" applyFont="1" applyFill="1" applyBorder="1" applyAlignment="1" applyProtection="1">
      <alignment horizontal="center"/>
      <protection hidden="1"/>
    </xf>
    <xf numFmtId="167" fontId="5" fillId="0" borderId="5" xfId="1" applyNumberFormat="1" applyFont="1" applyFill="1" applyBorder="1" applyAlignment="1" applyProtection="1">
      <alignment horizontal="center"/>
      <protection hidden="1"/>
    </xf>
    <xf numFmtId="0" fontId="5" fillId="0" borderId="1" xfId="1" applyFont="1" applyFill="1" applyBorder="1" applyAlignment="1" applyProtection="1">
      <alignment horizontal="center"/>
      <protection hidden="1"/>
    </xf>
    <xf numFmtId="0" fontId="3" fillId="0" borderId="1" xfId="1" applyBorder="1" applyAlignment="1" applyProtection="1">
      <alignment horizontal="center"/>
      <protection hidden="1"/>
    </xf>
    <xf numFmtId="0" fontId="4" fillId="0" borderId="7" xfId="1" applyFont="1" applyBorder="1" applyAlignment="1" applyProtection="1">
      <alignment horizontal="center"/>
      <protection locked="0"/>
    </xf>
    <xf numFmtId="0" fontId="4" fillId="0" borderId="6" xfId="1" applyFont="1" applyFill="1" applyBorder="1" applyAlignment="1" applyProtection="1">
      <alignment horizontal="center"/>
      <protection hidden="1"/>
    </xf>
    <xf numFmtId="2" fontId="4" fillId="0" borderId="6" xfId="1" applyNumberFormat="1" applyFont="1" applyFill="1" applyBorder="1" applyAlignment="1" applyProtection="1">
      <alignment horizontal="center"/>
      <protection hidden="1"/>
    </xf>
    <xf numFmtId="0" fontId="4" fillId="0" borderId="8" xfId="1" applyFont="1" applyBorder="1" applyAlignment="1" applyProtection="1">
      <alignment horizontal="center"/>
      <protection locked="0"/>
    </xf>
    <xf numFmtId="0" fontId="4" fillId="0" borderId="0" xfId="1" applyFont="1" applyFill="1" applyAlignment="1" applyProtection="1">
      <alignment horizontal="center"/>
      <protection hidden="1"/>
    </xf>
    <xf numFmtId="2" fontId="4" fillId="0" borderId="0" xfId="1" applyNumberFormat="1" applyFont="1" applyFill="1" applyAlignment="1" applyProtection="1">
      <alignment horizontal="center"/>
      <protection hidden="1"/>
    </xf>
    <xf numFmtId="0" fontId="4" fillId="0" borderId="5" xfId="1" applyFont="1" applyBorder="1" applyAlignment="1" applyProtection="1">
      <alignment horizontal="center"/>
      <protection locked="0"/>
    </xf>
    <xf numFmtId="0" fontId="4" fillId="0" borderId="1" xfId="1" applyFont="1" applyFill="1" applyBorder="1" applyAlignment="1" applyProtection="1">
      <alignment horizontal="center"/>
      <protection hidden="1"/>
    </xf>
    <xf numFmtId="2" fontId="4" fillId="0" borderId="1" xfId="1" applyNumberFormat="1" applyFont="1" applyFill="1" applyBorder="1" applyAlignment="1" applyProtection="1">
      <alignment horizontal="center"/>
      <protection hidden="1"/>
    </xf>
    <xf numFmtId="0" fontId="0" fillId="0" borderId="0" xfId="0" applyAlignment="1">
      <alignment horizontal="left"/>
    </xf>
    <xf numFmtId="0" fontId="2" fillId="4" borderId="0" xfId="0" applyFont="1" applyFill="1" applyAlignment="1">
      <alignment horizontal="left"/>
    </xf>
    <xf numFmtId="0" fontId="2" fillId="4" borderId="0" xfId="0" applyFont="1" applyFill="1" applyAlignment="1">
      <alignment horizontal="center" vertical="center"/>
    </xf>
    <xf numFmtId="0" fontId="2" fillId="4" borderId="0" xfId="0" applyNumberFormat="1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7" fillId="4" borderId="10" xfId="0" applyFont="1" applyFill="1" applyBorder="1" applyAlignment="1">
      <alignment horizontal="center" vertical="center" wrapText="1"/>
    </xf>
    <xf numFmtId="0" fontId="8" fillId="0" borderId="10" xfId="0" applyFont="1" applyBorder="1" applyAlignment="1">
      <alignment horizontal="center" vertical="center"/>
    </xf>
    <xf numFmtId="49" fontId="4" fillId="0" borderId="0" xfId="1" applyNumberFormat="1" applyFont="1" applyAlignment="1" applyProtection="1">
      <alignment horizontal="center"/>
      <protection hidden="1"/>
    </xf>
    <xf numFmtId="0" fontId="4" fillId="0" borderId="0" xfId="1" applyFont="1" applyAlignment="1" applyProtection="1">
      <alignment horizontal="center"/>
      <protection hidden="1"/>
    </xf>
    <xf numFmtId="0" fontId="5" fillId="0" borderId="0" xfId="1" applyFont="1" applyAlignment="1" applyProtection="1">
      <alignment horizontal="left"/>
      <protection hidden="1"/>
    </xf>
    <xf numFmtId="0" fontId="4" fillId="0" borderId="0" xfId="1" applyFont="1" applyProtection="1">
      <protection hidden="1"/>
    </xf>
    <xf numFmtId="0" fontId="4" fillId="0" borderId="0" xfId="1" applyNumberFormat="1" applyFont="1" applyAlignment="1" applyProtection="1">
      <alignment horizontal="center"/>
      <protection hidden="1"/>
    </xf>
    <xf numFmtId="7" fontId="4" fillId="0" borderId="0" xfId="1" applyNumberFormat="1" applyFont="1" applyAlignment="1" applyProtection="1">
      <alignment horizontal="center"/>
      <protection hidden="1"/>
    </xf>
    <xf numFmtId="7" fontId="5" fillId="0" borderId="0" xfId="1" applyNumberFormat="1" applyFont="1" applyAlignment="1" applyProtection="1">
      <alignment horizontal="center"/>
      <protection hidden="1"/>
    </xf>
    <xf numFmtId="0" fontId="5" fillId="0" borderId="0" xfId="1" applyFont="1" applyAlignment="1" applyProtection="1">
      <alignment horizontal="center"/>
      <protection hidden="1"/>
    </xf>
    <xf numFmtId="49" fontId="4" fillId="0" borderId="0" xfId="1" applyNumberFormat="1" applyFont="1" applyProtection="1">
      <protection hidden="1"/>
    </xf>
    <xf numFmtId="0" fontId="4" fillId="0" borderId="0" xfId="1" applyFont="1" applyFill="1" applyAlignment="1" applyProtection="1">
      <alignment horizontal="right"/>
      <protection hidden="1"/>
    </xf>
    <xf numFmtId="164" fontId="4" fillId="0" borderId="0" xfId="1" applyNumberFormat="1" applyFont="1" applyAlignment="1" applyProtection="1">
      <alignment horizontal="center"/>
      <protection hidden="1"/>
    </xf>
    <xf numFmtId="49" fontId="4" fillId="0" borderId="0" xfId="1" applyNumberFormat="1" applyFont="1" applyAlignment="1" applyProtection="1">
      <alignment horizontal="left"/>
      <protection hidden="1"/>
    </xf>
    <xf numFmtId="0" fontId="3" fillId="0" borderId="0" xfId="1" applyProtection="1">
      <protection hidden="1"/>
    </xf>
    <xf numFmtId="49" fontId="4" fillId="0" borderId="0" xfId="1" applyNumberFormat="1" applyFont="1" applyFill="1" applyProtection="1">
      <protection hidden="1"/>
    </xf>
    <xf numFmtId="0" fontId="4" fillId="0" borderId="0" xfId="1" applyFont="1" applyAlignment="1" applyProtection="1">
      <alignment horizontal="left"/>
      <protection hidden="1"/>
    </xf>
    <xf numFmtId="0" fontId="4" fillId="0" borderId="0" xfId="1" applyFont="1" applyAlignment="1" applyProtection="1">
      <alignment horizontal="right"/>
      <protection hidden="1"/>
    </xf>
    <xf numFmtId="165" fontId="4" fillId="0" borderId="0" xfId="1" applyNumberFormat="1" applyFont="1" applyAlignment="1" applyProtection="1">
      <alignment horizontal="left"/>
      <protection hidden="1"/>
    </xf>
    <xf numFmtId="49" fontId="3" fillId="0" borderId="0" xfId="1" applyNumberFormat="1" applyFill="1" applyProtection="1">
      <protection hidden="1"/>
    </xf>
    <xf numFmtId="0" fontId="4" fillId="0" borderId="1" xfId="1" applyFont="1" applyFill="1" applyBorder="1" applyAlignment="1" applyProtection="1">
      <alignment horizontal="right"/>
      <protection hidden="1"/>
    </xf>
    <xf numFmtId="0" fontId="4" fillId="0" borderId="1" xfId="1" applyFont="1" applyBorder="1" applyAlignment="1" applyProtection="1">
      <alignment horizontal="left"/>
      <protection hidden="1"/>
    </xf>
    <xf numFmtId="0" fontId="4" fillId="0" borderId="1" xfId="1" applyFont="1" applyBorder="1" applyAlignment="1" applyProtection="1">
      <alignment horizontal="center"/>
      <protection hidden="1"/>
    </xf>
    <xf numFmtId="0" fontId="4" fillId="0" borderId="1" xfId="1" applyFont="1" applyBorder="1" applyProtection="1">
      <protection hidden="1"/>
    </xf>
    <xf numFmtId="0" fontId="3" fillId="0" borderId="0" xfId="1" applyAlignment="1" applyProtection="1">
      <alignment horizontal="center"/>
      <protection hidden="1"/>
    </xf>
    <xf numFmtId="49" fontId="3" fillId="0" borderId="2" xfId="1" applyNumberFormat="1" applyFill="1" applyBorder="1" applyProtection="1">
      <protection hidden="1"/>
    </xf>
    <xf numFmtId="0" fontId="3" fillId="0" borderId="2" xfId="1" applyFill="1" applyBorder="1" applyProtection="1">
      <protection hidden="1"/>
    </xf>
    <xf numFmtId="7" fontId="3" fillId="0" borderId="0" xfId="1" applyNumberFormat="1" applyAlignment="1" applyProtection="1">
      <alignment horizontal="center"/>
      <protection hidden="1"/>
    </xf>
    <xf numFmtId="0" fontId="3" fillId="0" borderId="0" xfId="1" applyAlignment="1" applyProtection="1">
      <alignment horizontal="right"/>
      <protection hidden="1"/>
    </xf>
    <xf numFmtId="0" fontId="3" fillId="0" borderId="0" xfId="1" applyBorder="1" applyProtection="1">
      <protection hidden="1"/>
    </xf>
    <xf numFmtId="0" fontId="3" fillId="0" borderId="0" xfId="1" applyBorder="1" applyAlignment="1" applyProtection="1">
      <alignment horizontal="center"/>
      <protection hidden="1"/>
    </xf>
    <xf numFmtId="0" fontId="5" fillId="0" borderId="6" xfId="1" applyNumberFormat="1" applyFont="1" applyFill="1" applyBorder="1" applyAlignment="1" applyProtection="1">
      <alignment horizontal="left"/>
      <protection hidden="1"/>
    </xf>
    <xf numFmtId="0" fontId="4" fillId="0" borderId="6" xfId="1" applyFont="1" applyBorder="1" applyAlignment="1" applyProtection="1">
      <alignment horizontal="center"/>
      <protection hidden="1"/>
    </xf>
    <xf numFmtId="2" fontId="4" fillId="0" borderId="6" xfId="1" applyNumberFormat="1" applyFont="1" applyBorder="1" applyAlignment="1" applyProtection="1">
      <alignment horizontal="center"/>
      <protection hidden="1"/>
    </xf>
    <xf numFmtId="2" fontId="4" fillId="0" borderId="6" xfId="1" applyNumberFormat="1" applyFont="1" applyFill="1" applyBorder="1" applyAlignment="1" applyProtection="1">
      <alignment horizontal="right"/>
      <protection hidden="1"/>
    </xf>
    <xf numFmtId="4" fontId="4" fillId="0" borderId="6" xfId="1" applyNumberFormat="1" applyFont="1" applyFill="1" applyBorder="1" applyAlignment="1" applyProtection="1">
      <alignment horizontal="center"/>
      <protection hidden="1"/>
    </xf>
    <xf numFmtId="0" fontId="3" fillId="0" borderId="6" xfId="1" applyBorder="1" applyProtection="1">
      <protection hidden="1"/>
    </xf>
    <xf numFmtId="0" fontId="3" fillId="0" borderId="0" xfId="1" applyNumberFormat="1" applyFont="1" applyBorder="1" applyAlignment="1" applyProtection="1">
      <alignment horizontal="center"/>
      <protection hidden="1"/>
    </xf>
    <xf numFmtId="0" fontId="3" fillId="0" borderId="0" xfId="1" applyBorder="1" applyAlignment="1" applyProtection="1">
      <alignment horizontal="right"/>
      <protection hidden="1"/>
    </xf>
    <xf numFmtId="7" fontId="3" fillId="0" borderId="0" xfId="1" applyNumberFormat="1" applyBorder="1" applyAlignment="1" applyProtection="1">
      <alignment horizontal="center"/>
      <protection hidden="1"/>
    </xf>
    <xf numFmtId="0" fontId="4" fillId="0" borderId="0" xfId="1" applyNumberFormat="1" applyFont="1" applyFill="1" applyAlignment="1" applyProtection="1">
      <alignment horizontal="left"/>
      <protection hidden="1"/>
    </xf>
    <xf numFmtId="2" fontId="4" fillId="0" borderId="0" xfId="1" applyNumberFormat="1" applyFont="1" applyAlignment="1" applyProtection="1">
      <alignment horizontal="center"/>
      <protection hidden="1"/>
    </xf>
    <xf numFmtId="2" fontId="4" fillId="0" borderId="0" xfId="1" applyNumberFormat="1" applyFont="1" applyFill="1" applyAlignment="1" applyProtection="1">
      <alignment horizontal="right"/>
      <protection hidden="1"/>
    </xf>
    <xf numFmtId="4" fontId="4" fillId="0" borderId="0" xfId="1" applyNumberFormat="1" applyFont="1" applyFill="1" applyAlignment="1" applyProtection="1">
      <alignment horizontal="center"/>
      <protection hidden="1"/>
    </xf>
    <xf numFmtId="2" fontId="3" fillId="0" borderId="0" xfId="1" applyNumberFormat="1" applyAlignment="1" applyProtection="1">
      <alignment horizontal="center"/>
      <protection hidden="1"/>
    </xf>
    <xf numFmtId="0" fontId="3" fillId="0" borderId="0" xfId="1" applyNumberFormat="1" applyFont="1" applyAlignment="1" applyProtection="1">
      <alignment horizontal="center"/>
      <protection hidden="1"/>
    </xf>
    <xf numFmtId="2" fontId="5" fillId="0" borderId="0" xfId="1" applyNumberFormat="1" applyFont="1" applyFill="1" applyAlignment="1" applyProtection="1">
      <alignment horizontal="right"/>
      <protection hidden="1"/>
    </xf>
    <xf numFmtId="4" fontId="5" fillId="0" borderId="0" xfId="1" applyNumberFormat="1" applyFont="1" applyFill="1" applyAlignment="1" applyProtection="1">
      <alignment horizontal="center"/>
      <protection hidden="1"/>
    </xf>
    <xf numFmtId="0" fontId="4" fillId="0" borderId="0" xfId="1" applyFont="1" applyFill="1" applyProtection="1">
      <protection hidden="1"/>
    </xf>
    <xf numFmtId="4" fontId="4" fillId="0" borderId="0" xfId="1" applyNumberFormat="1" applyFont="1" applyFill="1" applyProtection="1">
      <protection hidden="1"/>
    </xf>
    <xf numFmtId="0" fontId="4" fillId="0" borderId="0" xfId="1" applyFont="1" applyBorder="1" applyProtection="1">
      <protection hidden="1"/>
    </xf>
    <xf numFmtId="0" fontId="4" fillId="0" borderId="0" xfId="1" applyFont="1" applyBorder="1" applyAlignment="1" applyProtection="1">
      <alignment horizontal="center"/>
      <protection hidden="1"/>
    </xf>
    <xf numFmtId="0" fontId="4" fillId="0" borderId="1" xfId="1" applyNumberFormat="1" applyFont="1" applyFill="1" applyBorder="1" applyAlignment="1" applyProtection="1">
      <alignment horizontal="left"/>
      <protection hidden="1"/>
    </xf>
    <xf numFmtId="2" fontId="4" fillId="0" borderId="1" xfId="1" applyNumberFormat="1" applyFont="1" applyBorder="1" applyAlignment="1" applyProtection="1">
      <alignment horizontal="center"/>
      <protection hidden="1"/>
    </xf>
    <xf numFmtId="2" fontId="4" fillId="0" borderId="1" xfId="1" applyNumberFormat="1" applyFont="1" applyFill="1" applyBorder="1" applyAlignment="1" applyProtection="1">
      <alignment horizontal="right"/>
      <protection hidden="1"/>
    </xf>
    <xf numFmtId="4" fontId="4" fillId="0" borderId="1" xfId="1" applyNumberFormat="1" applyFont="1" applyFill="1" applyBorder="1" applyAlignment="1" applyProtection="1">
      <alignment horizontal="center"/>
      <protection hidden="1"/>
    </xf>
    <xf numFmtId="0" fontId="4" fillId="0" borderId="0" xfId="1" applyNumberFormat="1" applyFont="1" applyBorder="1" applyAlignment="1" applyProtection="1">
      <alignment horizontal="center"/>
      <protection hidden="1"/>
    </xf>
    <xf numFmtId="7" fontId="4" fillId="0" borderId="0" xfId="1" applyNumberFormat="1" applyFont="1" applyBorder="1" applyAlignment="1" applyProtection="1">
      <alignment horizontal="center"/>
      <protection hidden="1"/>
    </xf>
    <xf numFmtId="0" fontId="4" fillId="0" borderId="0" xfId="1" applyNumberFormat="1" applyFont="1" applyAlignment="1" applyProtection="1">
      <alignment horizontal="left"/>
      <protection hidden="1"/>
    </xf>
    <xf numFmtId="0" fontId="4" fillId="0" borderId="1" xfId="1" applyNumberFormat="1" applyFont="1" applyBorder="1" applyAlignment="1" applyProtection="1">
      <alignment horizontal="left"/>
      <protection hidden="1"/>
    </xf>
    <xf numFmtId="49" fontId="5" fillId="0" borderId="2" xfId="1" applyNumberFormat="1" applyFont="1" applyFill="1" applyBorder="1" applyAlignment="1" applyProtection="1">
      <alignment horizontal="left"/>
      <protection hidden="1"/>
    </xf>
    <xf numFmtId="2" fontId="3" fillId="0" borderId="2" xfId="1" applyNumberFormat="1" applyFill="1" applyBorder="1" applyAlignment="1" applyProtection="1">
      <alignment horizontal="center"/>
      <protection hidden="1"/>
    </xf>
    <xf numFmtId="0" fontId="3" fillId="0" borderId="2" xfId="1" applyBorder="1" applyProtection="1">
      <protection hidden="1"/>
    </xf>
    <xf numFmtId="0" fontId="3" fillId="0" borderId="11" xfId="1" applyBorder="1" applyProtection="1">
      <protection hidden="1"/>
    </xf>
    <xf numFmtId="0" fontId="3" fillId="7" borderId="15" xfId="1" applyFill="1" applyBorder="1" applyAlignment="1" applyProtection="1">
      <alignment horizontal="center"/>
      <protection hidden="1"/>
    </xf>
    <xf numFmtId="0" fontId="3" fillId="7" borderId="15" xfId="1" applyFill="1" applyBorder="1" applyProtection="1">
      <protection hidden="1"/>
    </xf>
    <xf numFmtId="0" fontId="3" fillId="7" borderId="16" xfId="1" applyFill="1" applyBorder="1" applyProtection="1">
      <protection hidden="1"/>
    </xf>
    <xf numFmtId="0" fontId="0" fillId="0" borderId="0" xfId="0" applyProtection="1">
      <protection hidden="1"/>
    </xf>
    <xf numFmtId="0" fontId="3" fillId="0" borderId="0" xfId="1" applyFill="1" applyAlignment="1" applyProtection="1">
      <alignment horizontal="center"/>
      <protection hidden="1"/>
    </xf>
    <xf numFmtId="7" fontId="4" fillId="0" borderId="0" xfId="1" applyNumberFormat="1" applyFont="1" applyFill="1" applyAlignment="1" applyProtection="1">
      <alignment horizontal="left"/>
      <protection hidden="1"/>
    </xf>
    <xf numFmtId="0" fontId="3" fillId="0" borderId="0" xfId="1" applyFill="1" applyBorder="1" applyAlignment="1" applyProtection="1">
      <alignment horizontal="center"/>
      <protection hidden="1"/>
    </xf>
    <xf numFmtId="168" fontId="3" fillId="0" borderId="0" xfId="2" applyNumberFormat="1" applyFont="1" applyBorder="1" applyAlignment="1" applyProtection="1">
      <alignment horizontal="center"/>
      <protection hidden="1"/>
    </xf>
    <xf numFmtId="168" fontId="3" fillId="0" borderId="17" xfId="2" applyNumberFormat="1" applyFont="1" applyBorder="1" applyAlignment="1" applyProtection="1">
      <alignment horizontal="center"/>
      <protection hidden="1"/>
    </xf>
    <xf numFmtId="49" fontId="5" fillId="0" borderId="0" xfId="1" applyNumberFormat="1" applyFont="1" applyFill="1" applyAlignment="1" applyProtection="1">
      <alignment horizontal="left"/>
      <protection hidden="1"/>
    </xf>
    <xf numFmtId="0" fontId="3" fillId="0" borderId="0" xfId="1" applyFill="1" applyProtection="1">
      <protection hidden="1"/>
    </xf>
    <xf numFmtId="0" fontId="3" fillId="0" borderId="18" xfId="1" applyFill="1" applyBorder="1" applyAlignment="1" applyProtection="1">
      <alignment horizontal="center"/>
      <protection hidden="1"/>
    </xf>
    <xf numFmtId="168" fontId="3" fillId="0" borderId="18" xfId="2" applyNumberFormat="1" applyFont="1" applyBorder="1" applyAlignment="1" applyProtection="1">
      <alignment horizontal="center"/>
      <protection hidden="1"/>
    </xf>
    <xf numFmtId="168" fontId="3" fillId="0" borderId="19" xfId="2" applyNumberFormat="1" applyFont="1" applyBorder="1" applyAlignment="1" applyProtection="1">
      <alignment horizontal="center"/>
      <protection hidden="1"/>
    </xf>
    <xf numFmtId="49" fontId="3" fillId="0" borderId="0" xfId="1" applyNumberFormat="1" applyAlignment="1" applyProtection="1">
      <alignment horizontal="center"/>
      <protection hidden="1"/>
    </xf>
    <xf numFmtId="0" fontId="0" fillId="0" borderId="0" xfId="0" applyFill="1" applyProtection="1">
      <protection locked="0"/>
    </xf>
    <xf numFmtId="0" fontId="0" fillId="0" borderId="0" xfId="0" applyProtection="1">
      <protection locked="0"/>
    </xf>
    <xf numFmtId="0" fontId="10" fillId="0" borderId="0" xfId="0" applyFont="1" applyFill="1" applyAlignment="1" applyProtection="1">
      <alignment horizontal="center"/>
      <protection locked="0"/>
    </xf>
    <xf numFmtId="0" fontId="7" fillId="6" borderId="0" xfId="0" applyFont="1" applyFill="1" applyProtection="1">
      <protection locked="0"/>
    </xf>
    <xf numFmtId="0" fontId="0" fillId="7" borderId="0" xfId="0" applyFill="1" applyProtection="1">
      <protection locked="0"/>
    </xf>
    <xf numFmtId="0" fontId="0" fillId="2" borderId="0" xfId="0" applyFill="1" applyProtection="1">
      <protection locked="0"/>
    </xf>
    <xf numFmtId="0" fontId="10" fillId="2" borderId="0" xfId="0" applyFont="1" applyFill="1" applyAlignment="1" applyProtection="1">
      <alignment horizontal="center"/>
      <protection locked="0"/>
    </xf>
    <xf numFmtId="0" fontId="1" fillId="0" borderId="0" xfId="0" applyFont="1" applyProtection="1">
      <protection locked="0"/>
    </xf>
    <xf numFmtId="0" fontId="0" fillId="5" borderId="0" xfId="0" applyFill="1" applyProtection="1">
      <protection locked="0"/>
    </xf>
    <xf numFmtId="19" fontId="0" fillId="0" borderId="0" xfId="0" applyNumberFormat="1" applyProtection="1">
      <protection locked="0"/>
    </xf>
    <xf numFmtId="0" fontId="0" fillId="0" borderId="0" xfId="0" applyFill="1" applyProtection="1"/>
    <xf numFmtId="0" fontId="0" fillId="5" borderId="0" xfId="0" applyFill="1" applyProtection="1"/>
    <xf numFmtId="0" fontId="7" fillId="6" borderId="10" xfId="0" applyFont="1" applyFill="1" applyBorder="1" applyProtection="1"/>
    <xf numFmtId="0" fontId="0" fillId="0" borderId="10" xfId="0" applyBorder="1" applyProtection="1"/>
    <xf numFmtId="0" fontId="0" fillId="7" borderId="0" xfId="0" applyFill="1" applyProtection="1"/>
    <xf numFmtId="0" fontId="1" fillId="0" borderId="0" xfId="0" applyFont="1" applyProtection="1"/>
    <xf numFmtId="0" fontId="7" fillId="3" borderId="10" xfId="0" applyFont="1" applyFill="1" applyBorder="1" applyAlignment="1" applyProtection="1">
      <alignment horizontal="center"/>
    </xf>
    <xf numFmtId="0" fontId="10" fillId="0" borderId="10" xfId="0" applyFont="1" applyFill="1" applyBorder="1" applyAlignment="1" applyProtection="1">
      <alignment horizontal="center"/>
    </xf>
    <xf numFmtId="0" fontId="0" fillId="0" borderId="9" xfId="0" applyBorder="1" applyAlignment="1" applyProtection="1">
      <alignment horizontal="center" vertical="center"/>
      <protection locked="0"/>
    </xf>
    <xf numFmtId="0" fontId="0" fillId="0" borderId="9" xfId="0" applyBorder="1" applyProtection="1">
      <protection locked="0"/>
    </xf>
    <xf numFmtId="0" fontId="0" fillId="0" borderId="9" xfId="0" applyBorder="1" applyAlignment="1" applyProtection="1">
      <alignment wrapText="1"/>
      <protection locked="0"/>
    </xf>
    <xf numFmtId="0" fontId="0" fillId="0" borderId="0" xfId="0" applyFill="1" applyAlignment="1" applyProtection="1">
      <alignment horizont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10" fillId="0" borderId="0" xfId="0" applyFont="1" applyFill="1" applyAlignment="1" applyProtection="1">
      <alignment horizontal="center" vertical="center"/>
      <protection locked="0"/>
    </xf>
    <xf numFmtId="0" fontId="7" fillId="6" borderId="0" xfId="0" applyFont="1" applyFill="1" applyAlignment="1" applyProtection="1">
      <alignment horizontal="center" vertical="center"/>
      <protection locked="0"/>
    </xf>
    <xf numFmtId="0" fontId="0" fillId="7" borderId="0" xfId="0" applyFill="1" applyAlignment="1" applyProtection="1">
      <alignment horizontal="center" vertical="center"/>
      <protection locked="0"/>
    </xf>
    <xf numFmtId="0" fontId="2" fillId="3" borderId="20" xfId="0" applyFont="1" applyFill="1" applyBorder="1" applyAlignment="1" applyProtection="1">
      <alignment horizontal="center" vertical="center"/>
    </xf>
    <xf numFmtId="0" fontId="2" fillId="3" borderId="22" xfId="0" applyFont="1" applyFill="1" applyBorder="1" applyAlignment="1" applyProtection="1">
      <alignment horizontal="center" vertical="center"/>
    </xf>
    <xf numFmtId="0" fontId="0" fillId="0" borderId="24" xfId="0" applyFill="1" applyBorder="1" applyAlignment="1" applyProtection="1">
      <alignment horizontal="center" vertical="center"/>
      <protection locked="0"/>
    </xf>
    <xf numFmtId="0" fontId="0" fillId="0" borderId="24" xfId="0" applyBorder="1" applyAlignment="1" applyProtection="1">
      <alignment horizontal="center" vertical="center"/>
      <protection locked="0"/>
    </xf>
    <xf numFmtId="0" fontId="0" fillId="2" borderId="0" xfId="0" applyFill="1" applyAlignment="1" applyProtection="1">
      <alignment horizontal="center"/>
      <protection locked="0"/>
    </xf>
    <xf numFmtId="0" fontId="0" fillId="0" borderId="0" xfId="0" applyAlignment="1">
      <alignment horizontal="center"/>
    </xf>
    <xf numFmtId="0" fontId="2" fillId="4" borderId="0" xfId="0" applyFont="1" applyFill="1" applyAlignment="1">
      <alignment horizontal="center"/>
    </xf>
    <xf numFmtId="0" fontId="0" fillId="0" borderId="9" xfId="0" applyBorder="1" applyAlignment="1" applyProtection="1">
      <alignment horizontal="center"/>
      <protection locked="0"/>
    </xf>
    <xf numFmtId="169" fontId="0" fillId="0" borderId="0" xfId="0" applyNumberFormat="1"/>
    <xf numFmtId="167" fontId="5" fillId="0" borderId="0" xfId="0" applyNumberFormat="1" applyFont="1" applyFill="1" applyAlignment="1" applyProtection="1">
      <alignment horizontal="center"/>
    </xf>
    <xf numFmtId="14" fontId="4" fillId="0" borderId="0" xfId="1" applyNumberFormat="1" applyFont="1" applyAlignment="1" applyProtection="1">
      <protection hidden="1"/>
    </xf>
    <xf numFmtId="14" fontId="4" fillId="0" borderId="0" xfId="0" applyNumberFormat="1" applyFont="1" applyAlignment="1" applyProtection="1">
      <alignment horizontal="center"/>
      <protection locked="0"/>
    </xf>
    <xf numFmtId="14" fontId="8" fillId="0" borderId="10" xfId="0" applyNumberFormat="1" applyFont="1" applyBorder="1" applyAlignment="1">
      <alignment horizontal="center" vertical="center"/>
    </xf>
    <xf numFmtId="0" fontId="0" fillId="0" borderId="21" xfId="0" applyBorder="1" applyAlignment="1" applyProtection="1">
      <alignment horizontal="center" vertical="center"/>
      <protection locked="0"/>
    </xf>
    <xf numFmtId="0" fontId="0" fillId="0" borderId="25" xfId="0" applyBorder="1" applyAlignment="1" applyProtection="1">
      <alignment horizontal="center" vertical="center"/>
      <protection locked="0"/>
    </xf>
    <xf numFmtId="0" fontId="0" fillId="0" borderId="23" xfId="0" applyBorder="1" applyAlignment="1" applyProtection="1">
      <alignment horizontal="center" vertical="center"/>
      <protection locked="0"/>
    </xf>
    <xf numFmtId="0" fontId="0" fillId="0" borderId="26" xfId="0" applyBorder="1" applyAlignment="1" applyProtection="1">
      <alignment horizontal="center" vertical="center"/>
      <protection locked="0"/>
    </xf>
    <xf numFmtId="0" fontId="11" fillId="7" borderId="12" xfId="1" applyFont="1" applyFill="1" applyBorder="1" applyAlignment="1" applyProtection="1">
      <alignment horizontal="center" vertical="center"/>
      <protection locked="0" hidden="1"/>
    </xf>
    <xf numFmtId="0" fontId="11" fillId="7" borderId="13" xfId="1" applyFont="1" applyFill="1" applyBorder="1" applyAlignment="1" applyProtection="1">
      <alignment horizontal="center" vertical="center"/>
      <protection locked="0" hidden="1"/>
    </xf>
    <xf numFmtId="0" fontId="11" fillId="7" borderId="14" xfId="1" applyFont="1" applyFill="1" applyBorder="1" applyAlignment="1" applyProtection="1">
      <alignment horizontal="center" vertical="center"/>
      <protection locked="0" hidden="1"/>
    </xf>
    <xf numFmtId="0" fontId="4" fillId="0" borderId="0" xfId="1" applyFont="1" applyAlignment="1" applyProtection="1">
      <alignment horizontal="left"/>
      <protection hidden="1"/>
    </xf>
  </cellXfs>
  <cellStyles count="3">
    <cellStyle name="Normal" xfId="0" builtinId="0"/>
    <cellStyle name="Normal 2" xfId="1"/>
    <cellStyle name="Percent" xfId="2" builtinId="5"/>
  </cellStyles>
  <dxfs count="19">
    <dxf>
      <fill>
        <patternFill>
          <bgColor rgb="FFFF0000"/>
        </patternFill>
      </fill>
    </dxf>
    <dxf>
      <fill>
        <patternFill>
          <bgColor theme="4"/>
        </patternFill>
      </fill>
    </dxf>
    <dxf>
      <fill>
        <patternFill>
          <bgColor rgb="FFFF0000"/>
        </patternFill>
      </fill>
    </dxf>
    <dxf>
      <fill>
        <patternFill>
          <bgColor theme="4"/>
        </patternFill>
      </fill>
    </dxf>
    <dxf>
      <fill>
        <patternFill>
          <bgColor rgb="FFFF0000"/>
        </patternFill>
      </fill>
    </dxf>
    <dxf>
      <fill>
        <patternFill>
          <bgColor theme="4"/>
        </patternFill>
      </fill>
    </dxf>
    <dxf>
      <fill>
        <patternFill>
          <bgColor rgb="FFFF0000"/>
        </patternFill>
      </fill>
    </dxf>
    <dxf>
      <fill>
        <patternFill>
          <bgColor theme="4"/>
        </patternFill>
      </fill>
    </dxf>
    <dxf>
      <fill>
        <patternFill>
          <bgColor rgb="FFFF0000"/>
        </patternFill>
      </fill>
    </dxf>
    <dxf>
      <fill>
        <patternFill>
          <bgColor theme="4"/>
        </patternFill>
      </fill>
    </dxf>
    <dxf>
      <fill>
        <patternFill>
          <bgColor rgb="FFFF0000"/>
        </patternFill>
      </fill>
    </dxf>
    <dxf>
      <fill>
        <patternFill>
          <bgColor theme="4"/>
        </patternFill>
      </fill>
    </dxf>
    <dxf>
      <fill>
        <patternFill>
          <bgColor rgb="FFFF0000"/>
        </patternFill>
      </fill>
    </dxf>
    <dxf>
      <fill>
        <patternFill>
          <bgColor theme="4"/>
        </patternFill>
      </fill>
    </dxf>
    <dxf>
      <fill>
        <patternFill>
          <bgColor rgb="FFFF0000"/>
        </patternFill>
      </fill>
    </dxf>
    <dxf>
      <fill>
        <patternFill>
          <bgColor theme="4"/>
        </patternFill>
      </fill>
    </dxf>
    <dxf>
      <fill>
        <patternFill>
          <bgColor rgb="FFFF0000"/>
        </patternFill>
      </fill>
    </dxf>
    <dxf>
      <fill>
        <patternFill>
          <bgColor theme="4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gif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12</xdr:col>
      <xdr:colOff>66675</xdr:colOff>
      <xdr:row>0</xdr:row>
      <xdr:rowOff>0</xdr:rowOff>
    </xdr:from>
    <xdr:to>
      <xdr:col>12</xdr:col>
      <xdr:colOff>914400</xdr:colOff>
      <xdr:row>1</xdr:row>
      <xdr:rowOff>438150</xdr:rowOff>
    </xdr:to>
    <xdr:pic macro="[0]!GetInfo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06000" y="0"/>
          <a:ext cx="847725" cy="847725"/>
        </a:xfrm>
        <a:prstGeom prst="rect">
          <a:avLst/>
        </a:prstGeom>
      </xdr:spPr>
    </xdr:pic>
    <xdr:clientData/>
  </xdr:twoCellAnchor>
  <xdr:twoCellAnchor editAs="oneCell">
    <xdr:from>
      <xdr:col>20</xdr:col>
      <xdr:colOff>142875</xdr:colOff>
      <xdr:row>0</xdr:row>
      <xdr:rowOff>123825</xdr:rowOff>
    </xdr:from>
    <xdr:to>
      <xdr:col>22</xdr:col>
      <xdr:colOff>200025</xdr:colOff>
      <xdr:row>1</xdr:row>
      <xdr:rowOff>381000</xdr:rowOff>
    </xdr:to>
    <xdr:pic macro="[0]!Reset"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06125" y="123825"/>
          <a:ext cx="666750" cy="66675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114300</xdr:colOff>
      <xdr:row>0</xdr:row>
      <xdr:rowOff>28575</xdr:rowOff>
    </xdr:from>
    <xdr:to>
      <xdr:col>5</xdr:col>
      <xdr:colOff>133350</xdr:colOff>
      <xdr:row>0</xdr:row>
      <xdr:rowOff>304800</xdr:rowOff>
    </xdr:to>
    <xdr:sp macro="[0]!AdjustRows" textlink="">
      <xdr:nvSpPr>
        <xdr:cNvPr id="2" name="1 Rectángulo redondeado"/>
        <xdr:cNvSpPr/>
      </xdr:nvSpPr>
      <xdr:spPr>
        <a:xfrm>
          <a:off x="3409950" y="28575"/>
          <a:ext cx="1143000" cy="2762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 b="1"/>
            <a:t>ADJUST ROWS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219075</xdr:colOff>
      <xdr:row>0</xdr:row>
      <xdr:rowOff>47625</xdr:rowOff>
    </xdr:from>
    <xdr:to>
      <xdr:col>0</xdr:col>
      <xdr:colOff>781050</xdr:colOff>
      <xdr:row>4</xdr:row>
      <xdr:rowOff>104775</xdr:rowOff>
    </xdr:to>
    <xdr:pic>
      <xdr:nvPicPr>
        <xdr:cNvPr id="2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9075" y="47625"/>
          <a:ext cx="561975" cy="600075"/>
        </a:xfrm>
        <a:prstGeom prst="rect">
          <a:avLst/>
        </a:prstGeom>
        <a:solidFill>
          <a:srgbClr val="FFFFFF"/>
        </a:solidFill>
        <a:ln>
          <a:noFill/>
        </a:ln>
        <a:extLs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1"/>
  </sheetPr>
  <dimension ref="A1:V700"/>
  <sheetViews>
    <sheetView showGridLines="0" tabSelected="1" workbookViewId="0">
      <selection activeCell="B2" sqref="B2:L2"/>
    </sheetView>
  </sheetViews>
  <sheetFormatPr defaultColWidth="9.140625" defaultRowHeight="15"/>
  <cols>
    <col min="1" max="1" width="53.85546875" style="104" bestFit="1" customWidth="1"/>
    <col min="2" max="2" width="15.42578125" style="104" customWidth="1"/>
    <col min="3" max="3" width="17.140625" style="104" customWidth="1"/>
    <col min="4" max="4" width="13.140625" style="104" customWidth="1"/>
    <col min="5" max="5" width="15.7109375" style="104" bestFit="1" customWidth="1"/>
    <col min="6" max="6" width="32.28515625" style="103" bestFit="1" customWidth="1"/>
    <col min="7" max="7" width="6.5703125" style="111" hidden="1" customWidth="1"/>
    <col min="8" max="9" width="11.85546875" style="111" hidden="1" customWidth="1"/>
    <col min="10" max="10" width="6.5703125" style="103" hidden="1" customWidth="1"/>
    <col min="11" max="11" width="22.85546875" style="103" hidden="1" customWidth="1"/>
    <col min="12" max="12" width="16.85546875" style="111" hidden="1" customWidth="1"/>
    <col min="13" max="13" width="13.85546875" style="124" bestFit="1" customWidth="1"/>
    <col min="14" max="14" width="0" style="104" hidden="1" customWidth="1"/>
    <col min="15" max="15" width="3" style="105" hidden="1" customWidth="1"/>
    <col min="16" max="16" width="55.42578125" style="106" hidden="1" customWidth="1"/>
    <col min="17" max="17" width="52.85546875" style="106" hidden="1" customWidth="1"/>
    <col min="18" max="19" width="3" style="106" hidden="1" customWidth="1"/>
    <col min="20" max="20" width="27.28515625" style="104" hidden="1" customWidth="1"/>
    <col min="21" max="21" width="9.140625" style="104"/>
    <col min="22" max="22" width="51.42578125" style="107" hidden="1" customWidth="1"/>
    <col min="23" max="16384" width="9.140625" style="104"/>
  </cols>
  <sheetData>
    <row r="1" spans="1:22" s="125" customFormat="1" ht="32.25" customHeight="1">
      <c r="A1" s="129" t="s">
        <v>10</v>
      </c>
      <c r="B1" s="142" t="s">
        <v>153</v>
      </c>
      <c r="C1" s="142"/>
      <c r="D1" s="142"/>
      <c r="E1" s="142"/>
      <c r="F1" s="142"/>
      <c r="G1" s="142"/>
      <c r="H1" s="142"/>
      <c r="I1" s="142"/>
      <c r="J1" s="142"/>
      <c r="K1" s="142"/>
      <c r="L1" s="143"/>
      <c r="M1" s="131"/>
      <c r="O1" s="126"/>
      <c r="P1" s="127"/>
      <c r="Q1" s="127"/>
      <c r="R1" s="127"/>
      <c r="S1" s="127"/>
      <c r="U1" s="132"/>
      <c r="V1" s="128"/>
    </row>
    <row r="2" spans="1:22" s="125" customFormat="1" ht="36" customHeight="1" thickBot="1">
      <c r="A2" s="130" t="s">
        <v>11</v>
      </c>
      <c r="B2" s="144" t="s">
        <v>152</v>
      </c>
      <c r="C2" s="144"/>
      <c r="D2" s="144"/>
      <c r="E2" s="144"/>
      <c r="F2" s="144"/>
      <c r="G2" s="144"/>
      <c r="H2" s="144"/>
      <c r="I2" s="144"/>
      <c r="J2" s="144"/>
      <c r="K2" s="144"/>
      <c r="L2" s="145"/>
      <c r="M2" s="131"/>
      <c r="O2" s="126"/>
      <c r="P2" s="127"/>
      <c r="Q2" s="127"/>
      <c r="R2" s="127"/>
      <c r="S2" s="127"/>
      <c r="U2" s="132"/>
      <c r="V2" s="128"/>
    </row>
    <row r="3" spans="1:22" s="108" customFormat="1">
      <c r="M3" s="133"/>
      <c r="O3" s="109"/>
      <c r="P3" s="106"/>
      <c r="Q3" s="106"/>
      <c r="R3" s="106"/>
      <c r="S3" s="106"/>
      <c r="V3" s="107"/>
    </row>
    <row r="4" spans="1:22">
      <c r="E4" s="118" t="s">
        <v>1</v>
      </c>
      <c r="F4" s="113" t="str">
        <f>IFERROR(INDEX((RIGHT($A$4:$A$560,LEN(INDEX($A$4:$A$560,MATCH(E4&amp;"*",$A$4:$A$560,)))-LEN(E4)-1)),MATCH(E4&amp;"*",$A$4:$A$560,)),"")</f>
        <v/>
      </c>
      <c r="V4" s="107" t="s">
        <v>72</v>
      </c>
    </row>
    <row r="5" spans="1:22">
      <c r="E5" s="118" t="s">
        <v>2</v>
      </c>
      <c r="F5" s="113" t="str">
        <f>IFERROR(INDEX((RIGHT($A$4:$A$560,LEN(INDEX($A$4:$A$560,MATCH(E5&amp;"*",$A$4:$A$560,)))-LEN(E5)-1)),MATCH(E5&amp;"*",$A$4:$A$560,)),"")</f>
        <v/>
      </c>
      <c r="V5" s="117" t="str">
        <f>CONCATENATE(A5," ",B5," ",C5," ",D5)</f>
        <v xml:space="preserve">   </v>
      </c>
    </row>
    <row r="6" spans="1:22">
      <c r="E6" s="118" t="s">
        <v>4</v>
      </c>
      <c r="F6" s="113" t="str">
        <f>IFERROR(INDEX((RIGHT($A$4:$A$560,LEN(INDEX($A$4:$A$560,MATCH(E6&amp;"*",$A$4:$A$560,)))-LEN(E6)-1)),MATCH(E6&amp;"*",$A$4:$A$560,)),"")</f>
        <v/>
      </c>
      <c r="V6" s="117" t="str">
        <f t="shared" ref="V6:V69" si="0">CONCATENATE(A6," ",B6," ",C6," ",D6)</f>
        <v xml:space="preserve">   </v>
      </c>
    </row>
    <row r="7" spans="1:22">
      <c r="E7" s="118" t="s">
        <v>3</v>
      </c>
      <c r="F7" s="113" t="str">
        <f>IFERROR(INDEX((RIGHT($A$4:$A$560,LEN(INDEX($A$4:$A$560,MATCH(E7&amp;"*",$A$4:$A$560,)))-LEN(E7)-1)),MATCH(E7&amp;"*",$A$4:$A$560,)),"")</f>
        <v/>
      </c>
      <c r="V7" s="117" t="str">
        <f t="shared" si="0"/>
        <v xml:space="preserve">   </v>
      </c>
    </row>
    <row r="8" spans="1:22">
      <c r="E8" s="118" t="s">
        <v>5</v>
      </c>
      <c r="F8" s="113" t="str">
        <f>IFERROR(INDEX((RIGHT($A$4:$A$560,LEN(INDEX($A$4:$A$560,MATCH(E8&amp;"*",$A$4:$A$560,)))-LEN(E8)-1)),MATCH(E8&amp;"*",$A$4:$A$560,)),"")</f>
        <v/>
      </c>
      <c r="H8" s="111" t="s">
        <v>0</v>
      </c>
      <c r="V8" s="117" t="str">
        <f t="shared" si="0"/>
        <v xml:space="preserve">   </v>
      </c>
    </row>
    <row r="9" spans="1:22">
      <c r="E9" s="118" t="s">
        <v>7</v>
      </c>
      <c r="F9" s="113" t="s">
        <v>151</v>
      </c>
      <c r="V9" s="117" t="str">
        <f t="shared" si="0"/>
        <v xml:space="preserve">   </v>
      </c>
    </row>
    <row r="10" spans="1:22">
      <c r="E10" s="118" t="s">
        <v>6</v>
      </c>
      <c r="F10" s="113" t="str">
        <f>IFERROR(INDEX((RIGHT($A$4:$A$560,LEN(INDEX($A$4:$A$560,MATCH(E10&amp;"*",$A$4:$A$560,)))-LEN(E10)-1)),MATCH(E10&amp;"*",$A$4:$A$560,)),"")</f>
        <v/>
      </c>
      <c r="V10" s="117" t="str">
        <f t="shared" si="0"/>
        <v xml:space="preserve">   </v>
      </c>
    </row>
    <row r="11" spans="1:22">
      <c r="E11" s="118" t="s">
        <v>9</v>
      </c>
      <c r="F11" s="113" t="str">
        <f>IFERROR(INDEX((RIGHT($A$4:$A$560,LEN(INDEX($A$4:$A$560,MATCH(E11&amp;"*",$A$4:$A$560,)))-LEN(E11)-1)),MATCH(E11&amp;"*",$A$4:$A$560,)),"")</f>
        <v/>
      </c>
      <c r="V11" s="117" t="str">
        <f t="shared" si="0"/>
        <v xml:space="preserve">   </v>
      </c>
    </row>
    <row r="12" spans="1:22">
      <c r="E12" s="118" t="s">
        <v>8</v>
      </c>
      <c r="F12" s="113" t="str">
        <f>IFERROR(INDEX((RIGHT($A$4:$A$560,LEN(INDEX($A$4:$A$560,MATCH(E12&amp;"*",$A$4:$A$560,)))-LEN(E12)-1)),MATCH(E12&amp;"*",$A$4:$A$560,)),"")</f>
        <v/>
      </c>
      <c r="V12" s="117" t="str">
        <f t="shared" si="0"/>
        <v xml:space="preserve">   </v>
      </c>
    </row>
    <row r="13" spans="1:22">
      <c r="E13" s="110"/>
      <c r="O13" s="119" t="s">
        <v>67</v>
      </c>
      <c r="P13" s="119"/>
      <c r="Q13" s="119"/>
      <c r="R13" s="119"/>
      <c r="S13" s="119"/>
      <c r="T13" s="119" t="s">
        <v>71</v>
      </c>
      <c r="V13" s="117" t="str">
        <f t="shared" si="0"/>
        <v xml:space="preserve">   </v>
      </c>
    </row>
    <row r="14" spans="1:22">
      <c r="E14" s="118" t="s">
        <v>64</v>
      </c>
      <c r="F14" s="113" t="str">
        <f t="shared" ref="F14:F45" si="1">IFERROR(INDEX(A14,MATCH(E14&amp;"*",A14,)),"-")</f>
        <v>-</v>
      </c>
      <c r="G14" s="114" t="str">
        <f>IF(F14="-","",LEFT(F14,6))</f>
        <v/>
      </c>
      <c r="H14" s="114" t="str">
        <f t="shared" ref="H14:H28" si="2">MID(F14,8,50)</f>
        <v/>
      </c>
      <c r="J14" s="113" t="str">
        <f t="shared" ref="J14:J77" si="3">IF(F14="-","-",LEFT(F14,6))</f>
        <v>-</v>
      </c>
      <c r="K14" s="113">
        <f t="shared" ref="K14:K77" si="4">I14</f>
        <v>0</v>
      </c>
      <c r="L14" s="114" t="str">
        <f t="shared" ref="L14:L45" si="5">IF(F14="-","",B14)</f>
        <v/>
      </c>
      <c r="O14" s="120">
        <v>1</v>
      </c>
      <c r="P14" s="115" t="str">
        <f>IFERROR(INDEX((LEFT($A$4:$A$700,LEN(INDEX($A$4:$A$700,MATCH(O14&amp;"*",$A$4:$A$700,)))-LEN(O14)-1)),MATCH(O14&amp;" *",$A$4:$A$700,)),"")</f>
        <v/>
      </c>
      <c r="Q14" s="115" t="str">
        <f>IFERROR(RIGHT(P14,(LEN(P14)-(LEN(O14)+1))),"")</f>
        <v/>
      </c>
      <c r="R14" s="115" t="str">
        <f>IFERROR(IF(Q14="","",FIND(" AM ",Q14)),0)</f>
        <v/>
      </c>
      <c r="S14" s="115" t="str">
        <f>IFERROR(IF(Q14="","",FIND(" PM ",Q14)),0)</f>
        <v/>
      </c>
      <c r="T14" s="116" t="str">
        <f>IFERROR(IF(AND(R14=0,S14=0),Q14,IF(R14&gt;0,LEFT(Q14,R14-6),LEFT(Q14,S14-6))),"")</f>
        <v/>
      </c>
      <c r="V14" s="117" t="str">
        <f t="shared" si="0"/>
        <v xml:space="preserve">   </v>
      </c>
    </row>
    <row r="15" spans="1:22">
      <c r="E15" s="118" t="s">
        <v>64</v>
      </c>
      <c r="F15" s="113" t="str">
        <f t="shared" si="1"/>
        <v>-</v>
      </c>
      <c r="G15" s="114" t="str">
        <f t="shared" ref="G15:G78" si="6">IF(F15="-","",LEFT(F15,6))</f>
        <v/>
      </c>
      <c r="H15" s="114" t="str">
        <f t="shared" si="2"/>
        <v/>
      </c>
      <c r="J15" s="113" t="str">
        <f t="shared" si="3"/>
        <v>-</v>
      </c>
      <c r="K15" s="113">
        <f t="shared" si="4"/>
        <v>0</v>
      </c>
      <c r="L15" s="114" t="str">
        <f t="shared" si="5"/>
        <v/>
      </c>
      <c r="O15" s="120">
        <v>2</v>
      </c>
      <c r="P15" s="115" t="str">
        <f t="shared" ref="P15:P77" si="7">IFERROR(INDEX((LEFT($A$4:$A$700,LEN(INDEX($A$4:$A$700,MATCH(O15&amp;"*",$A$4:$A$700,)))-LEN(O15)-1)),MATCH(O15&amp;" *",$A$4:$A$700,)),"")</f>
        <v/>
      </c>
      <c r="Q15" s="115" t="str">
        <f t="shared" ref="Q15:Q77" si="8">IFERROR(RIGHT(P15,(LEN(P15)-(LEN(O15)+1))),"")</f>
        <v/>
      </c>
      <c r="R15" s="115" t="str">
        <f t="shared" ref="R15:R77" si="9">IFERROR(IF(Q15="","",FIND(" AM ",Q15)),0)</f>
        <v/>
      </c>
      <c r="S15" s="115" t="str">
        <f t="shared" ref="S15:S77" si="10">IFERROR(IF(Q15="","",FIND(" PM ",Q15)),0)</f>
        <v/>
      </c>
      <c r="T15" s="116" t="str">
        <f t="shared" ref="T15:T77" si="11">IFERROR(IF(AND(R15=0,S15=0),Q15,IF(R15&gt;0,LEFT(Q15,R15-6),LEFT(Q15,S15-6))),"")</f>
        <v/>
      </c>
      <c r="V15" s="117" t="str">
        <f t="shared" si="0"/>
        <v xml:space="preserve">   </v>
      </c>
    </row>
    <row r="16" spans="1:22">
      <c r="E16" s="118" t="s">
        <v>64</v>
      </c>
      <c r="F16" s="113" t="str">
        <f t="shared" si="1"/>
        <v>-</v>
      </c>
      <c r="G16" s="114" t="str">
        <f t="shared" si="6"/>
        <v/>
      </c>
      <c r="H16" s="114" t="str">
        <f t="shared" si="2"/>
        <v/>
      </c>
      <c r="J16" s="113" t="str">
        <f t="shared" si="3"/>
        <v>-</v>
      </c>
      <c r="K16" s="113">
        <f t="shared" si="4"/>
        <v>0</v>
      </c>
      <c r="L16" s="114" t="str">
        <f t="shared" si="5"/>
        <v/>
      </c>
      <c r="O16" s="120">
        <v>3</v>
      </c>
      <c r="P16" s="115" t="str">
        <f t="shared" si="7"/>
        <v/>
      </c>
      <c r="Q16" s="115" t="str">
        <f t="shared" si="8"/>
        <v/>
      </c>
      <c r="R16" s="115" t="str">
        <f t="shared" si="9"/>
        <v/>
      </c>
      <c r="S16" s="115" t="str">
        <f t="shared" si="10"/>
        <v/>
      </c>
      <c r="T16" s="116" t="str">
        <f t="shared" si="11"/>
        <v/>
      </c>
      <c r="V16" s="117" t="str">
        <f t="shared" si="0"/>
        <v xml:space="preserve">   </v>
      </c>
    </row>
    <row r="17" spans="1:22">
      <c r="E17" s="118" t="s">
        <v>64</v>
      </c>
      <c r="F17" s="113" t="str">
        <f t="shared" si="1"/>
        <v>-</v>
      </c>
      <c r="G17" s="114" t="str">
        <f t="shared" si="6"/>
        <v/>
      </c>
      <c r="H17" s="114" t="str">
        <f t="shared" si="2"/>
        <v/>
      </c>
      <c r="J17" s="113" t="str">
        <f t="shared" si="3"/>
        <v>-</v>
      </c>
      <c r="K17" s="113">
        <f t="shared" si="4"/>
        <v>0</v>
      </c>
      <c r="L17" s="114" t="str">
        <f t="shared" si="5"/>
        <v/>
      </c>
      <c r="O17" s="120">
        <v>4</v>
      </c>
      <c r="P17" s="115" t="str">
        <f t="shared" si="7"/>
        <v/>
      </c>
      <c r="Q17" s="115" t="str">
        <f t="shared" si="8"/>
        <v/>
      </c>
      <c r="R17" s="115" t="str">
        <f t="shared" si="9"/>
        <v/>
      </c>
      <c r="S17" s="115" t="str">
        <f t="shared" si="10"/>
        <v/>
      </c>
      <c r="T17" s="116" t="str">
        <f t="shared" si="11"/>
        <v/>
      </c>
      <c r="V17" s="117" t="str">
        <f t="shared" si="0"/>
        <v xml:space="preserve">   </v>
      </c>
    </row>
    <row r="18" spans="1:22">
      <c r="E18" s="118" t="s">
        <v>64</v>
      </c>
      <c r="F18" s="113" t="str">
        <f t="shared" si="1"/>
        <v>-</v>
      </c>
      <c r="G18" s="114" t="str">
        <f t="shared" si="6"/>
        <v/>
      </c>
      <c r="H18" s="114" t="str">
        <f t="shared" si="2"/>
        <v/>
      </c>
      <c r="J18" s="113" t="str">
        <f t="shared" si="3"/>
        <v>-</v>
      </c>
      <c r="K18" s="113">
        <f t="shared" si="4"/>
        <v>0</v>
      </c>
      <c r="L18" s="114" t="str">
        <f t="shared" si="5"/>
        <v/>
      </c>
      <c r="O18" s="120">
        <v>5</v>
      </c>
      <c r="P18" s="115" t="str">
        <f t="shared" si="7"/>
        <v/>
      </c>
      <c r="Q18" s="115" t="str">
        <f t="shared" si="8"/>
        <v/>
      </c>
      <c r="R18" s="115" t="str">
        <f t="shared" si="9"/>
        <v/>
      </c>
      <c r="S18" s="115" t="str">
        <f t="shared" si="10"/>
        <v/>
      </c>
      <c r="T18" s="116" t="str">
        <f t="shared" si="11"/>
        <v/>
      </c>
      <c r="V18" s="117" t="str">
        <f t="shared" si="0"/>
        <v xml:space="preserve">   </v>
      </c>
    </row>
    <row r="19" spans="1:22">
      <c r="A19" s="112"/>
      <c r="E19" s="118" t="s">
        <v>64</v>
      </c>
      <c r="F19" s="113" t="str">
        <f t="shared" si="1"/>
        <v>-</v>
      </c>
      <c r="G19" s="114" t="str">
        <f t="shared" si="6"/>
        <v/>
      </c>
      <c r="H19" s="114" t="str">
        <f t="shared" si="2"/>
        <v/>
      </c>
      <c r="J19" s="113" t="str">
        <f t="shared" si="3"/>
        <v>-</v>
      </c>
      <c r="K19" s="113">
        <f t="shared" si="4"/>
        <v>0</v>
      </c>
      <c r="L19" s="114" t="str">
        <f t="shared" si="5"/>
        <v/>
      </c>
      <c r="O19" s="120">
        <v>6</v>
      </c>
      <c r="P19" s="115" t="str">
        <f t="shared" si="7"/>
        <v/>
      </c>
      <c r="Q19" s="115" t="str">
        <f t="shared" si="8"/>
        <v/>
      </c>
      <c r="R19" s="115" t="str">
        <f t="shared" si="9"/>
        <v/>
      </c>
      <c r="S19" s="115" t="str">
        <f t="shared" si="10"/>
        <v/>
      </c>
      <c r="T19" s="116" t="str">
        <f t="shared" si="11"/>
        <v/>
      </c>
      <c r="V19" s="117" t="str">
        <f t="shared" si="0"/>
        <v xml:space="preserve">   </v>
      </c>
    </row>
    <row r="20" spans="1:22">
      <c r="A20" s="112"/>
      <c r="E20" s="118" t="s">
        <v>64</v>
      </c>
      <c r="F20" s="113" t="str">
        <f t="shared" si="1"/>
        <v>-</v>
      </c>
      <c r="G20" s="114" t="str">
        <f t="shared" si="6"/>
        <v/>
      </c>
      <c r="H20" s="114" t="str">
        <f t="shared" si="2"/>
        <v/>
      </c>
      <c r="J20" s="113" t="str">
        <f t="shared" si="3"/>
        <v>-</v>
      </c>
      <c r="K20" s="113">
        <f t="shared" si="4"/>
        <v>0</v>
      </c>
      <c r="L20" s="114" t="str">
        <f t="shared" si="5"/>
        <v/>
      </c>
      <c r="O20" s="120">
        <v>7</v>
      </c>
      <c r="P20" s="115" t="str">
        <f t="shared" si="7"/>
        <v/>
      </c>
      <c r="Q20" s="115" t="str">
        <f t="shared" si="8"/>
        <v/>
      </c>
      <c r="R20" s="115" t="str">
        <f t="shared" si="9"/>
        <v/>
      </c>
      <c r="S20" s="115" t="str">
        <f t="shared" si="10"/>
        <v/>
      </c>
      <c r="T20" s="116" t="str">
        <f t="shared" si="11"/>
        <v/>
      </c>
      <c r="V20" s="117" t="str">
        <f t="shared" si="0"/>
        <v xml:space="preserve">   </v>
      </c>
    </row>
    <row r="21" spans="1:22">
      <c r="E21" s="118" t="s">
        <v>64</v>
      </c>
      <c r="F21" s="113" t="str">
        <f t="shared" si="1"/>
        <v>-</v>
      </c>
      <c r="G21" s="114" t="str">
        <f t="shared" si="6"/>
        <v/>
      </c>
      <c r="H21" s="114" t="str">
        <f t="shared" si="2"/>
        <v/>
      </c>
      <c r="J21" s="113" t="str">
        <f t="shared" si="3"/>
        <v>-</v>
      </c>
      <c r="K21" s="113">
        <f t="shared" si="4"/>
        <v>0</v>
      </c>
      <c r="L21" s="114" t="str">
        <f t="shared" si="5"/>
        <v/>
      </c>
      <c r="O21" s="120">
        <v>8</v>
      </c>
      <c r="P21" s="115" t="str">
        <f t="shared" si="7"/>
        <v/>
      </c>
      <c r="Q21" s="115" t="str">
        <f t="shared" si="8"/>
        <v/>
      </c>
      <c r="R21" s="115" t="str">
        <f t="shared" si="9"/>
        <v/>
      </c>
      <c r="S21" s="115" t="str">
        <f t="shared" si="10"/>
        <v/>
      </c>
      <c r="T21" s="116" t="str">
        <f t="shared" si="11"/>
        <v/>
      </c>
      <c r="V21" s="117" t="str">
        <f t="shared" si="0"/>
        <v xml:space="preserve">   </v>
      </c>
    </row>
    <row r="22" spans="1:22">
      <c r="E22" s="118" t="s">
        <v>64</v>
      </c>
      <c r="F22" s="113" t="str">
        <f t="shared" si="1"/>
        <v>-</v>
      </c>
      <c r="G22" s="114" t="str">
        <f t="shared" si="6"/>
        <v/>
      </c>
      <c r="H22" s="114" t="str">
        <f t="shared" si="2"/>
        <v/>
      </c>
      <c r="J22" s="113" t="str">
        <f t="shared" si="3"/>
        <v>-</v>
      </c>
      <c r="K22" s="113">
        <f t="shared" si="4"/>
        <v>0</v>
      </c>
      <c r="L22" s="114" t="str">
        <f t="shared" si="5"/>
        <v/>
      </c>
      <c r="O22" s="120">
        <v>9</v>
      </c>
      <c r="P22" s="115" t="str">
        <f t="shared" si="7"/>
        <v/>
      </c>
      <c r="Q22" s="115" t="str">
        <f t="shared" si="8"/>
        <v/>
      </c>
      <c r="R22" s="115" t="str">
        <f t="shared" si="9"/>
        <v/>
      </c>
      <c r="S22" s="115" t="str">
        <f t="shared" si="10"/>
        <v/>
      </c>
      <c r="T22" s="116" t="str">
        <f t="shared" si="11"/>
        <v/>
      </c>
      <c r="V22" s="117" t="str">
        <f t="shared" si="0"/>
        <v xml:space="preserve">   </v>
      </c>
    </row>
    <row r="23" spans="1:22">
      <c r="E23" s="118" t="s">
        <v>64</v>
      </c>
      <c r="F23" s="113" t="str">
        <f t="shared" si="1"/>
        <v>-</v>
      </c>
      <c r="G23" s="114" t="str">
        <f t="shared" si="6"/>
        <v/>
      </c>
      <c r="H23" s="114" t="str">
        <f t="shared" si="2"/>
        <v/>
      </c>
      <c r="J23" s="113" t="str">
        <f t="shared" si="3"/>
        <v>-</v>
      </c>
      <c r="K23" s="113">
        <f t="shared" si="4"/>
        <v>0</v>
      </c>
      <c r="L23" s="114" t="str">
        <f t="shared" si="5"/>
        <v/>
      </c>
      <c r="O23" s="120">
        <v>10</v>
      </c>
      <c r="P23" s="115" t="str">
        <f t="shared" si="7"/>
        <v/>
      </c>
      <c r="Q23" s="115" t="str">
        <f t="shared" si="8"/>
        <v/>
      </c>
      <c r="R23" s="115" t="str">
        <f t="shared" si="9"/>
        <v/>
      </c>
      <c r="S23" s="115" t="str">
        <f t="shared" si="10"/>
        <v/>
      </c>
      <c r="T23" s="116" t="str">
        <f t="shared" si="11"/>
        <v/>
      </c>
      <c r="V23" s="117" t="str">
        <f t="shared" si="0"/>
        <v xml:space="preserve">   </v>
      </c>
    </row>
    <row r="24" spans="1:22">
      <c r="E24" s="118" t="s">
        <v>64</v>
      </c>
      <c r="F24" s="113" t="str">
        <f t="shared" si="1"/>
        <v>-</v>
      </c>
      <c r="G24" s="114" t="str">
        <f t="shared" si="6"/>
        <v/>
      </c>
      <c r="H24" s="114" t="str">
        <f t="shared" si="2"/>
        <v/>
      </c>
      <c r="J24" s="113" t="str">
        <f t="shared" si="3"/>
        <v>-</v>
      </c>
      <c r="K24" s="113">
        <f t="shared" si="4"/>
        <v>0</v>
      </c>
      <c r="L24" s="114" t="str">
        <f t="shared" si="5"/>
        <v/>
      </c>
      <c r="O24" s="120">
        <v>11</v>
      </c>
      <c r="P24" s="115" t="str">
        <f t="shared" si="7"/>
        <v/>
      </c>
      <c r="Q24" s="115" t="str">
        <f t="shared" si="8"/>
        <v/>
      </c>
      <c r="R24" s="115" t="str">
        <f t="shared" si="9"/>
        <v/>
      </c>
      <c r="S24" s="115" t="str">
        <f t="shared" si="10"/>
        <v/>
      </c>
      <c r="T24" s="116" t="str">
        <f t="shared" si="11"/>
        <v/>
      </c>
      <c r="V24" s="117" t="str">
        <f t="shared" si="0"/>
        <v xml:space="preserve">   </v>
      </c>
    </row>
    <row r="25" spans="1:22">
      <c r="E25" s="118" t="s">
        <v>64</v>
      </c>
      <c r="F25" s="113" t="str">
        <f t="shared" si="1"/>
        <v>-</v>
      </c>
      <c r="G25" s="114" t="str">
        <f t="shared" si="6"/>
        <v/>
      </c>
      <c r="H25" s="114" t="str">
        <f t="shared" si="2"/>
        <v/>
      </c>
      <c r="J25" s="113" t="str">
        <f t="shared" si="3"/>
        <v>-</v>
      </c>
      <c r="K25" s="113">
        <f t="shared" si="4"/>
        <v>0</v>
      </c>
      <c r="L25" s="114" t="str">
        <f t="shared" si="5"/>
        <v/>
      </c>
      <c r="O25" s="120">
        <v>12</v>
      </c>
      <c r="P25" s="115" t="str">
        <f t="shared" si="7"/>
        <v/>
      </c>
      <c r="Q25" s="115" t="str">
        <f t="shared" si="8"/>
        <v/>
      </c>
      <c r="R25" s="115" t="str">
        <f t="shared" si="9"/>
        <v/>
      </c>
      <c r="S25" s="115" t="str">
        <f t="shared" si="10"/>
        <v/>
      </c>
      <c r="T25" s="116" t="str">
        <f t="shared" si="11"/>
        <v/>
      </c>
      <c r="V25" s="117" t="str">
        <f t="shared" si="0"/>
        <v xml:space="preserve">   </v>
      </c>
    </row>
    <row r="26" spans="1:22">
      <c r="E26" s="118" t="s">
        <v>64</v>
      </c>
      <c r="F26" s="113" t="str">
        <f t="shared" si="1"/>
        <v>-</v>
      </c>
      <c r="G26" s="114" t="str">
        <f t="shared" si="6"/>
        <v/>
      </c>
      <c r="H26" s="114" t="str">
        <f t="shared" si="2"/>
        <v/>
      </c>
      <c r="J26" s="113" t="str">
        <f t="shared" si="3"/>
        <v>-</v>
      </c>
      <c r="K26" s="113">
        <f t="shared" si="4"/>
        <v>0</v>
      </c>
      <c r="L26" s="114" t="str">
        <f t="shared" si="5"/>
        <v/>
      </c>
      <c r="O26" s="120">
        <v>13</v>
      </c>
      <c r="P26" s="115" t="str">
        <f t="shared" si="7"/>
        <v/>
      </c>
      <c r="Q26" s="115" t="str">
        <f t="shared" si="8"/>
        <v/>
      </c>
      <c r="R26" s="115" t="str">
        <f t="shared" si="9"/>
        <v/>
      </c>
      <c r="S26" s="115" t="str">
        <f t="shared" si="10"/>
        <v/>
      </c>
      <c r="T26" s="116" t="str">
        <f t="shared" si="11"/>
        <v/>
      </c>
      <c r="V26" s="117" t="str">
        <f t="shared" si="0"/>
        <v xml:space="preserve">   </v>
      </c>
    </row>
    <row r="27" spans="1:22">
      <c r="E27" s="118" t="s">
        <v>64</v>
      </c>
      <c r="F27" s="113" t="str">
        <f t="shared" si="1"/>
        <v>-</v>
      </c>
      <c r="G27" s="114" t="str">
        <f t="shared" si="6"/>
        <v/>
      </c>
      <c r="H27" s="114" t="str">
        <f t="shared" si="2"/>
        <v/>
      </c>
      <c r="J27" s="113" t="str">
        <f t="shared" si="3"/>
        <v>-</v>
      </c>
      <c r="K27" s="113">
        <f t="shared" si="4"/>
        <v>0</v>
      </c>
      <c r="L27" s="114" t="str">
        <f t="shared" si="5"/>
        <v/>
      </c>
      <c r="O27" s="120">
        <v>14</v>
      </c>
      <c r="P27" s="115" t="str">
        <f t="shared" si="7"/>
        <v/>
      </c>
      <c r="Q27" s="115" t="str">
        <f t="shared" si="8"/>
        <v/>
      </c>
      <c r="R27" s="115" t="str">
        <f t="shared" si="9"/>
        <v/>
      </c>
      <c r="S27" s="115" t="str">
        <f t="shared" si="10"/>
        <v/>
      </c>
      <c r="T27" s="116" t="str">
        <f t="shared" si="11"/>
        <v/>
      </c>
      <c r="V27" s="117" t="str">
        <f t="shared" si="0"/>
        <v xml:space="preserve">   </v>
      </c>
    </row>
    <row r="28" spans="1:22">
      <c r="E28" s="118" t="s">
        <v>64</v>
      </c>
      <c r="F28" s="113" t="str">
        <f t="shared" si="1"/>
        <v>-</v>
      </c>
      <c r="G28" s="114" t="str">
        <f t="shared" si="6"/>
        <v/>
      </c>
      <c r="H28" s="114" t="str">
        <f t="shared" si="2"/>
        <v/>
      </c>
      <c r="J28" s="113" t="str">
        <f t="shared" si="3"/>
        <v>-</v>
      </c>
      <c r="K28" s="113">
        <f t="shared" si="4"/>
        <v>0</v>
      </c>
      <c r="L28" s="114" t="str">
        <f t="shared" si="5"/>
        <v/>
      </c>
      <c r="O28" s="120">
        <v>15</v>
      </c>
      <c r="P28" s="115" t="str">
        <f t="shared" si="7"/>
        <v/>
      </c>
      <c r="Q28" s="115" t="str">
        <f t="shared" si="8"/>
        <v/>
      </c>
      <c r="R28" s="115" t="str">
        <f t="shared" si="9"/>
        <v/>
      </c>
      <c r="S28" s="115" t="str">
        <f t="shared" si="10"/>
        <v/>
      </c>
      <c r="T28" s="116" t="str">
        <f t="shared" si="11"/>
        <v/>
      </c>
      <c r="V28" s="117" t="str">
        <f t="shared" si="0"/>
        <v xml:space="preserve">   </v>
      </c>
    </row>
    <row r="29" spans="1:22">
      <c r="E29" s="118" t="s">
        <v>64</v>
      </c>
      <c r="F29" s="113" t="str">
        <f t="shared" si="1"/>
        <v>-</v>
      </c>
      <c r="G29" s="114" t="str">
        <f t="shared" si="6"/>
        <v/>
      </c>
      <c r="H29" s="114" t="str">
        <f>MID(F29,8,50)</f>
        <v/>
      </c>
      <c r="J29" s="113" t="str">
        <f t="shared" si="3"/>
        <v>-</v>
      </c>
      <c r="K29" s="113">
        <f t="shared" si="4"/>
        <v>0</v>
      </c>
      <c r="L29" s="114" t="str">
        <f t="shared" si="5"/>
        <v/>
      </c>
      <c r="O29" s="120">
        <v>16</v>
      </c>
      <c r="P29" s="115" t="str">
        <f t="shared" si="7"/>
        <v/>
      </c>
      <c r="Q29" s="115" t="str">
        <f t="shared" si="8"/>
        <v/>
      </c>
      <c r="R29" s="115" t="str">
        <f t="shared" si="9"/>
        <v/>
      </c>
      <c r="S29" s="115" t="str">
        <f t="shared" si="10"/>
        <v/>
      </c>
      <c r="T29" s="116" t="str">
        <f t="shared" si="11"/>
        <v/>
      </c>
      <c r="V29" s="117" t="str">
        <f t="shared" si="0"/>
        <v xml:space="preserve">   </v>
      </c>
    </row>
    <row r="30" spans="1:22">
      <c r="E30" s="118" t="s">
        <v>64</v>
      </c>
      <c r="F30" s="113" t="str">
        <f t="shared" si="1"/>
        <v>-</v>
      </c>
      <c r="G30" s="114" t="str">
        <f t="shared" si="6"/>
        <v/>
      </c>
      <c r="H30" s="114" t="str">
        <f t="shared" ref="H30:H93" si="12">MID(F30,8,50)</f>
        <v/>
      </c>
      <c r="J30" s="113" t="str">
        <f t="shared" si="3"/>
        <v>-</v>
      </c>
      <c r="K30" s="113">
        <f t="shared" si="4"/>
        <v>0</v>
      </c>
      <c r="L30" s="114" t="str">
        <f t="shared" si="5"/>
        <v/>
      </c>
      <c r="O30" s="120">
        <v>17</v>
      </c>
      <c r="P30" s="115" t="str">
        <f t="shared" si="7"/>
        <v/>
      </c>
      <c r="Q30" s="115" t="str">
        <f t="shared" si="8"/>
        <v/>
      </c>
      <c r="R30" s="115" t="str">
        <f t="shared" si="9"/>
        <v/>
      </c>
      <c r="S30" s="115" t="str">
        <f t="shared" si="10"/>
        <v/>
      </c>
      <c r="T30" s="116" t="str">
        <f t="shared" si="11"/>
        <v/>
      </c>
      <c r="V30" s="117" t="str">
        <f t="shared" si="0"/>
        <v xml:space="preserve">   </v>
      </c>
    </row>
    <row r="31" spans="1:22">
      <c r="E31" s="118" t="s">
        <v>64</v>
      </c>
      <c r="F31" s="113" t="str">
        <f t="shared" si="1"/>
        <v>-</v>
      </c>
      <c r="G31" s="114" t="str">
        <f t="shared" si="6"/>
        <v/>
      </c>
      <c r="H31" s="114" t="str">
        <f t="shared" si="12"/>
        <v/>
      </c>
      <c r="J31" s="113" t="str">
        <f t="shared" si="3"/>
        <v>-</v>
      </c>
      <c r="K31" s="113">
        <f t="shared" si="4"/>
        <v>0</v>
      </c>
      <c r="L31" s="114" t="str">
        <f t="shared" si="5"/>
        <v/>
      </c>
      <c r="O31" s="120">
        <v>18</v>
      </c>
      <c r="P31" s="115" t="str">
        <f t="shared" si="7"/>
        <v/>
      </c>
      <c r="Q31" s="115" t="str">
        <f t="shared" si="8"/>
        <v/>
      </c>
      <c r="R31" s="115" t="str">
        <f t="shared" si="9"/>
        <v/>
      </c>
      <c r="S31" s="115" t="str">
        <f t="shared" si="10"/>
        <v/>
      </c>
      <c r="T31" s="116" t="str">
        <f t="shared" si="11"/>
        <v/>
      </c>
      <c r="V31" s="117" t="str">
        <f t="shared" si="0"/>
        <v xml:space="preserve">   </v>
      </c>
    </row>
    <row r="32" spans="1:22">
      <c r="E32" s="118" t="s">
        <v>64</v>
      </c>
      <c r="F32" s="113" t="str">
        <f t="shared" si="1"/>
        <v>-</v>
      </c>
      <c r="G32" s="114" t="str">
        <f t="shared" si="6"/>
        <v/>
      </c>
      <c r="H32" s="114" t="str">
        <f t="shared" si="12"/>
        <v/>
      </c>
      <c r="J32" s="113" t="str">
        <f t="shared" si="3"/>
        <v>-</v>
      </c>
      <c r="K32" s="113">
        <f t="shared" si="4"/>
        <v>0</v>
      </c>
      <c r="L32" s="114" t="str">
        <f t="shared" si="5"/>
        <v/>
      </c>
      <c r="O32" s="120">
        <v>19</v>
      </c>
      <c r="P32" s="115" t="str">
        <f t="shared" si="7"/>
        <v/>
      </c>
      <c r="Q32" s="115" t="str">
        <f t="shared" si="8"/>
        <v/>
      </c>
      <c r="R32" s="115" t="str">
        <f t="shared" si="9"/>
        <v/>
      </c>
      <c r="S32" s="115" t="str">
        <f t="shared" si="10"/>
        <v/>
      </c>
      <c r="T32" s="116" t="str">
        <f t="shared" si="11"/>
        <v/>
      </c>
      <c r="V32" s="117" t="str">
        <f t="shared" si="0"/>
        <v xml:space="preserve">   </v>
      </c>
    </row>
    <row r="33" spans="5:22">
      <c r="E33" s="118" t="s">
        <v>64</v>
      </c>
      <c r="F33" s="113" t="str">
        <f t="shared" si="1"/>
        <v>-</v>
      </c>
      <c r="G33" s="114" t="str">
        <f t="shared" si="6"/>
        <v/>
      </c>
      <c r="H33" s="114" t="str">
        <f t="shared" si="12"/>
        <v/>
      </c>
      <c r="J33" s="113" t="str">
        <f t="shared" si="3"/>
        <v>-</v>
      </c>
      <c r="K33" s="113">
        <f t="shared" si="4"/>
        <v>0</v>
      </c>
      <c r="L33" s="114" t="str">
        <f t="shared" si="5"/>
        <v/>
      </c>
      <c r="O33" s="120">
        <v>20</v>
      </c>
      <c r="P33" s="115" t="str">
        <f t="shared" si="7"/>
        <v/>
      </c>
      <c r="Q33" s="115" t="str">
        <f t="shared" si="8"/>
        <v/>
      </c>
      <c r="R33" s="115" t="str">
        <f t="shared" si="9"/>
        <v/>
      </c>
      <c r="S33" s="115" t="str">
        <f t="shared" si="10"/>
        <v/>
      </c>
      <c r="T33" s="116" t="str">
        <f t="shared" si="11"/>
        <v/>
      </c>
      <c r="V33" s="117" t="str">
        <f t="shared" si="0"/>
        <v xml:space="preserve">   </v>
      </c>
    </row>
    <row r="34" spans="5:22">
      <c r="E34" s="118" t="s">
        <v>64</v>
      </c>
      <c r="F34" s="113" t="str">
        <f t="shared" si="1"/>
        <v>-</v>
      </c>
      <c r="G34" s="114" t="str">
        <f t="shared" si="6"/>
        <v/>
      </c>
      <c r="H34" s="114" t="str">
        <f t="shared" si="12"/>
        <v/>
      </c>
      <c r="J34" s="113" t="str">
        <f t="shared" si="3"/>
        <v>-</v>
      </c>
      <c r="K34" s="113">
        <f t="shared" si="4"/>
        <v>0</v>
      </c>
      <c r="L34" s="114" t="str">
        <f t="shared" si="5"/>
        <v/>
      </c>
      <c r="O34" s="120">
        <v>21</v>
      </c>
      <c r="P34" s="115" t="str">
        <f t="shared" si="7"/>
        <v/>
      </c>
      <c r="Q34" s="115" t="str">
        <f t="shared" si="8"/>
        <v/>
      </c>
      <c r="R34" s="115" t="str">
        <f t="shared" si="9"/>
        <v/>
      </c>
      <c r="S34" s="115" t="str">
        <f t="shared" si="10"/>
        <v/>
      </c>
      <c r="T34" s="116" t="str">
        <f t="shared" si="11"/>
        <v/>
      </c>
      <c r="V34" s="117" t="str">
        <f t="shared" si="0"/>
        <v xml:space="preserve">   </v>
      </c>
    </row>
    <row r="35" spans="5:22">
      <c r="E35" s="118" t="s">
        <v>64</v>
      </c>
      <c r="F35" s="113" t="str">
        <f t="shared" si="1"/>
        <v>-</v>
      </c>
      <c r="G35" s="114" t="str">
        <f t="shared" si="6"/>
        <v/>
      </c>
      <c r="H35" s="114" t="str">
        <f t="shared" si="12"/>
        <v/>
      </c>
      <c r="J35" s="113" t="str">
        <f t="shared" si="3"/>
        <v>-</v>
      </c>
      <c r="K35" s="113">
        <f t="shared" si="4"/>
        <v>0</v>
      </c>
      <c r="L35" s="114" t="str">
        <f t="shared" si="5"/>
        <v/>
      </c>
      <c r="O35" s="120">
        <v>22</v>
      </c>
      <c r="P35" s="115" t="str">
        <f t="shared" si="7"/>
        <v/>
      </c>
      <c r="Q35" s="115" t="str">
        <f t="shared" si="8"/>
        <v/>
      </c>
      <c r="R35" s="115" t="str">
        <f t="shared" si="9"/>
        <v/>
      </c>
      <c r="S35" s="115" t="str">
        <f t="shared" si="10"/>
        <v/>
      </c>
      <c r="T35" s="116" t="str">
        <f t="shared" si="11"/>
        <v/>
      </c>
      <c r="V35" s="117" t="str">
        <f t="shared" si="0"/>
        <v xml:space="preserve">   </v>
      </c>
    </row>
    <row r="36" spans="5:22">
      <c r="E36" s="118" t="s">
        <v>64</v>
      </c>
      <c r="F36" s="113" t="str">
        <f t="shared" si="1"/>
        <v>-</v>
      </c>
      <c r="G36" s="114" t="str">
        <f t="shared" si="6"/>
        <v/>
      </c>
      <c r="H36" s="114" t="str">
        <f t="shared" si="12"/>
        <v/>
      </c>
      <c r="J36" s="113" t="str">
        <f t="shared" si="3"/>
        <v>-</v>
      </c>
      <c r="K36" s="113">
        <f t="shared" si="4"/>
        <v>0</v>
      </c>
      <c r="L36" s="114" t="str">
        <f t="shared" si="5"/>
        <v/>
      </c>
      <c r="O36" s="120">
        <v>23</v>
      </c>
      <c r="P36" s="115" t="str">
        <f t="shared" si="7"/>
        <v/>
      </c>
      <c r="Q36" s="115" t="str">
        <f t="shared" si="8"/>
        <v/>
      </c>
      <c r="R36" s="115" t="str">
        <f t="shared" si="9"/>
        <v/>
      </c>
      <c r="S36" s="115" t="str">
        <f t="shared" si="10"/>
        <v/>
      </c>
      <c r="T36" s="116" t="str">
        <f t="shared" si="11"/>
        <v/>
      </c>
      <c r="V36" s="117" t="str">
        <f t="shared" si="0"/>
        <v xml:space="preserve">   </v>
      </c>
    </row>
    <row r="37" spans="5:22">
      <c r="E37" s="118" t="s">
        <v>64</v>
      </c>
      <c r="F37" s="113" t="str">
        <f t="shared" si="1"/>
        <v>-</v>
      </c>
      <c r="G37" s="114" t="str">
        <f t="shared" si="6"/>
        <v/>
      </c>
      <c r="H37" s="114" t="str">
        <f t="shared" si="12"/>
        <v/>
      </c>
      <c r="J37" s="113" t="str">
        <f t="shared" si="3"/>
        <v>-</v>
      </c>
      <c r="K37" s="113">
        <f t="shared" si="4"/>
        <v>0</v>
      </c>
      <c r="L37" s="114" t="str">
        <f t="shared" si="5"/>
        <v/>
      </c>
      <c r="O37" s="120">
        <v>24</v>
      </c>
      <c r="P37" s="115" t="str">
        <f t="shared" si="7"/>
        <v/>
      </c>
      <c r="Q37" s="115" t="str">
        <f t="shared" si="8"/>
        <v/>
      </c>
      <c r="R37" s="115" t="str">
        <f t="shared" si="9"/>
        <v/>
      </c>
      <c r="S37" s="115" t="str">
        <f t="shared" si="10"/>
        <v/>
      </c>
      <c r="T37" s="116" t="str">
        <f t="shared" si="11"/>
        <v/>
      </c>
      <c r="V37" s="117" t="str">
        <f t="shared" si="0"/>
        <v xml:space="preserve">   </v>
      </c>
    </row>
    <row r="38" spans="5:22">
      <c r="E38" s="118" t="s">
        <v>64</v>
      </c>
      <c r="F38" s="113" t="str">
        <f t="shared" si="1"/>
        <v>-</v>
      </c>
      <c r="G38" s="114" t="str">
        <f t="shared" si="6"/>
        <v/>
      </c>
      <c r="H38" s="114" t="str">
        <f t="shared" si="12"/>
        <v/>
      </c>
      <c r="J38" s="113" t="str">
        <f t="shared" si="3"/>
        <v>-</v>
      </c>
      <c r="K38" s="113">
        <f t="shared" si="4"/>
        <v>0</v>
      </c>
      <c r="L38" s="114" t="str">
        <f t="shared" si="5"/>
        <v/>
      </c>
      <c r="O38" s="120">
        <v>25</v>
      </c>
      <c r="P38" s="115" t="str">
        <f t="shared" si="7"/>
        <v/>
      </c>
      <c r="Q38" s="115" t="str">
        <f t="shared" si="8"/>
        <v/>
      </c>
      <c r="R38" s="115" t="str">
        <f t="shared" si="9"/>
        <v/>
      </c>
      <c r="S38" s="115" t="str">
        <f t="shared" si="10"/>
        <v/>
      </c>
      <c r="T38" s="116" t="str">
        <f t="shared" si="11"/>
        <v/>
      </c>
      <c r="V38" s="117" t="str">
        <f t="shared" si="0"/>
        <v xml:space="preserve">   </v>
      </c>
    </row>
    <row r="39" spans="5:22">
      <c r="E39" s="118" t="s">
        <v>64</v>
      </c>
      <c r="F39" s="113" t="str">
        <f t="shared" si="1"/>
        <v>-</v>
      </c>
      <c r="G39" s="114" t="str">
        <f t="shared" si="6"/>
        <v/>
      </c>
      <c r="H39" s="114" t="str">
        <f t="shared" si="12"/>
        <v/>
      </c>
      <c r="J39" s="113" t="str">
        <f t="shared" si="3"/>
        <v>-</v>
      </c>
      <c r="K39" s="113">
        <f t="shared" si="4"/>
        <v>0</v>
      </c>
      <c r="L39" s="114" t="str">
        <f t="shared" si="5"/>
        <v/>
      </c>
      <c r="O39" s="120">
        <v>26</v>
      </c>
      <c r="P39" s="115" t="str">
        <f t="shared" si="7"/>
        <v/>
      </c>
      <c r="Q39" s="115" t="str">
        <f t="shared" si="8"/>
        <v/>
      </c>
      <c r="R39" s="115" t="str">
        <f t="shared" si="9"/>
        <v/>
      </c>
      <c r="S39" s="115" t="str">
        <f t="shared" si="10"/>
        <v/>
      </c>
      <c r="T39" s="116" t="str">
        <f t="shared" si="11"/>
        <v/>
      </c>
      <c r="V39" s="117" t="str">
        <f t="shared" si="0"/>
        <v xml:space="preserve">   </v>
      </c>
    </row>
    <row r="40" spans="5:22">
      <c r="E40" s="118" t="s">
        <v>64</v>
      </c>
      <c r="F40" s="113" t="str">
        <f t="shared" si="1"/>
        <v>-</v>
      </c>
      <c r="G40" s="114" t="str">
        <f t="shared" si="6"/>
        <v/>
      </c>
      <c r="H40" s="114" t="str">
        <f t="shared" si="12"/>
        <v/>
      </c>
      <c r="J40" s="113" t="str">
        <f t="shared" si="3"/>
        <v>-</v>
      </c>
      <c r="K40" s="113">
        <f t="shared" si="4"/>
        <v>0</v>
      </c>
      <c r="L40" s="114" t="str">
        <f t="shared" si="5"/>
        <v/>
      </c>
      <c r="O40" s="120">
        <v>27</v>
      </c>
      <c r="P40" s="115" t="str">
        <f t="shared" si="7"/>
        <v/>
      </c>
      <c r="Q40" s="115" t="str">
        <f t="shared" si="8"/>
        <v/>
      </c>
      <c r="R40" s="115" t="str">
        <f t="shared" si="9"/>
        <v/>
      </c>
      <c r="S40" s="115" t="str">
        <f t="shared" si="10"/>
        <v/>
      </c>
      <c r="T40" s="116" t="str">
        <f t="shared" si="11"/>
        <v/>
      </c>
      <c r="V40" s="117" t="str">
        <f t="shared" si="0"/>
        <v xml:space="preserve">   </v>
      </c>
    </row>
    <row r="41" spans="5:22">
      <c r="E41" s="118" t="s">
        <v>64</v>
      </c>
      <c r="F41" s="113" t="str">
        <f t="shared" si="1"/>
        <v>-</v>
      </c>
      <c r="G41" s="114" t="str">
        <f t="shared" si="6"/>
        <v/>
      </c>
      <c r="H41" s="114" t="str">
        <f t="shared" si="12"/>
        <v/>
      </c>
      <c r="J41" s="113" t="str">
        <f t="shared" si="3"/>
        <v>-</v>
      </c>
      <c r="K41" s="113">
        <f t="shared" si="4"/>
        <v>0</v>
      </c>
      <c r="L41" s="114" t="str">
        <f t="shared" si="5"/>
        <v/>
      </c>
      <c r="O41" s="120">
        <v>28</v>
      </c>
      <c r="P41" s="115" t="str">
        <f t="shared" si="7"/>
        <v/>
      </c>
      <c r="Q41" s="115" t="str">
        <f t="shared" si="8"/>
        <v/>
      </c>
      <c r="R41" s="115" t="str">
        <f t="shared" si="9"/>
        <v/>
      </c>
      <c r="S41" s="115" t="str">
        <f t="shared" si="10"/>
        <v/>
      </c>
      <c r="T41" s="116" t="str">
        <f t="shared" si="11"/>
        <v/>
      </c>
      <c r="V41" s="117" t="str">
        <f t="shared" si="0"/>
        <v xml:space="preserve">   </v>
      </c>
    </row>
    <row r="42" spans="5:22">
      <c r="E42" s="118" t="s">
        <v>64</v>
      </c>
      <c r="F42" s="113" t="str">
        <f t="shared" si="1"/>
        <v>-</v>
      </c>
      <c r="G42" s="114" t="str">
        <f t="shared" si="6"/>
        <v/>
      </c>
      <c r="H42" s="114" t="str">
        <f t="shared" si="12"/>
        <v/>
      </c>
      <c r="J42" s="113" t="str">
        <f t="shared" si="3"/>
        <v>-</v>
      </c>
      <c r="K42" s="113">
        <f t="shared" si="4"/>
        <v>0</v>
      </c>
      <c r="L42" s="114" t="str">
        <f t="shared" si="5"/>
        <v/>
      </c>
      <c r="O42" s="120">
        <v>29</v>
      </c>
      <c r="P42" s="115" t="str">
        <f t="shared" si="7"/>
        <v/>
      </c>
      <c r="Q42" s="115" t="str">
        <f t="shared" si="8"/>
        <v/>
      </c>
      <c r="R42" s="115" t="str">
        <f t="shared" si="9"/>
        <v/>
      </c>
      <c r="S42" s="115" t="str">
        <f t="shared" si="10"/>
        <v/>
      </c>
      <c r="T42" s="116" t="str">
        <f t="shared" si="11"/>
        <v/>
      </c>
      <c r="V42" s="117" t="str">
        <f t="shared" si="0"/>
        <v xml:space="preserve">   </v>
      </c>
    </row>
    <row r="43" spans="5:22">
      <c r="E43" s="118" t="s">
        <v>64</v>
      </c>
      <c r="F43" s="113" t="str">
        <f t="shared" si="1"/>
        <v>-</v>
      </c>
      <c r="G43" s="114" t="str">
        <f t="shared" si="6"/>
        <v/>
      </c>
      <c r="H43" s="114" t="str">
        <f t="shared" si="12"/>
        <v/>
      </c>
      <c r="J43" s="113" t="str">
        <f t="shared" si="3"/>
        <v>-</v>
      </c>
      <c r="K43" s="113">
        <f t="shared" si="4"/>
        <v>0</v>
      </c>
      <c r="L43" s="114" t="str">
        <f t="shared" si="5"/>
        <v/>
      </c>
      <c r="O43" s="120">
        <v>30</v>
      </c>
      <c r="P43" s="115" t="str">
        <f t="shared" si="7"/>
        <v/>
      </c>
      <c r="Q43" s="115" t="str">
        <f t="shared" si="8"/>
        <v/>
      </c>
      <c r="R43" s="115" t="str">
        <f t="shared" si="9"/>
        <v/>
      </c>
      <c r="S43" s="115" t="str">
        <f t="shared" si="10"/>
        <v/>
      </c>
      <c r="T43" s="116" t="str">
        <f t="shared" si="11"/>
        <v/>
      </c>
      <c r="V43" s="117" t="str">
        <f t="shared" si="0"/>
        <v xml:space="preserve">   </v>
      </c>
    </row>
    <row r="44" spans="5:22">
      <c r="E44" s="118" t="s">
        <v>64</v>
      </c>
      <c r="F44" s="113" t="str">
        <f t="shared" si="1"/>
        <v>-</v>
      </c>
      <c r="G44" s="114" t="str">
        <f t="shared" si="6"/>
        <v/>
      </c>
      <c r="H44" s="114" t="str">
        <f t="shared" si="12"/>
        <v/>
      </c>
      <c r="J44" s="113" t="str">
        <f t="shared" si="3"/>
        <v>-</v>
      </c>
      <c r="K44" s="113">
        <f t="shared" si="4"/>
        <v>0</v>
      </c>
      <c r="L44" s="114" t="str">
        <f t="shared" si="5"/>
        <v/>
      </c>
      <c r="O44" s="120">
        <v>31</v>
      </c>
      <c r="P44" s="115" t="str">
        <f t="shared" si="7"/>
        <v/>
      </c>
      <c r="Q44" s="115" t="str">
        <f t="shared" si="8"/>
        <v/>
      </c>
      <c r="R44" s="115" t="str">
        <f t="shared" si="9"/>
        <v/>
      </c>
      <c r="S44" s="115" t="str">
        <f t="shared" si="10"/>
        <v/>
      </c>
      <c r="T44" s="116" t="str">
        <f t="shared" si="11"/>
        <v/>
      </c>
      <c r="V44" s="117" t="str">
        <f t="shared" si="0"/>
        <v xml:space="preserve">   </v>
      </c>
    </row>
    <row r="45" spans="5:22">
      <c r="E45" s="118" t="s">
        <v>64</v>
      </c>
      <c r="F45" s="113" t="str">
        <f t="shared" si="1"/>
        <v>-</v>
      </c>
      <c r="G45" s="114" t="str">
        <f t="shared" si="6"/>
        <v/>
      </c>
      <c r="H45" s="114" t="str">
        <f t="shared" si="12"/>
        <v/>
      </c>
      <c r="J45" s="113" t="str">
        <f t="shared" si="3"/>
        <v>-</v>
      </c>
      <c r="K45" s="113">
        <f t="shared" si="4"/>
        <v>0</v>
      </c>
      <c r="L45" s="114" t="str">
        <f t="shared" si="5"/>
        <v/>
      </c>
      <c r="O45" s="120">
        <v>32</v>
      </c>
      <c r="P45" s="115" t="str">
        <f t="shared" si="7"/>
        <v/>
      </c>
      <c r="Q45" s="115" t="str">
        <f t="shared" si="8"/>
        <v/>
      </c>
      <c r="R45" s="115" t="str">
        <f t="shared" si="9"/>
        <v/>
      </c>
      <c r="S45" s="115" t="str">
        <f t="shared" si="10"/>
        <v/>
      </c>
      <c r="T45" s="116" t="str">
        <f t="shared" si="11"/>
        <v/>
      </c>
      <c r="V45" s="117" t="str">
        <f t="shared" si="0"/>
        <v xml:space="preserve">   </v>
      </c>
    </row>
    <row r="46" spans="5:22">
      <c r="E46" s="118" t="s">
        <v>64</v>
      </c>
      <c r="F46" s="113" t="str">
        <f t="shared" ref="F46:F77" si="13">IFERROR(INDEX(A46,MATCH(E46&amp;"*",A46,)),"-")</f>
        <v>-</v>
      </c>
      <c r="G46" s="114" t="str">
        <f t="shared" si="6"/>
        <v/>
      </c>
      <c r="H46" s="114" t="str">
        <f t="shared" si="12"/>
        <v/>
      </c>
      <c r="J46" s="113" t="str">
        <f t="shared" si="3"/>
        <v>-</v>
      </c>
      <c r="K46" s="113">
        <f t="shared" si="4"/>
        <v>0</v>
      </c>
      <c r="L46" s="114" t="str">
        <f t="shared" ref="L46:L77" si="14">IF(F46="-","",B46)</f>
        <v/>
      </c>
      <c r="O46" s="120">
        <v>33</v>
      </c>
      <c r="P46" s="115" t="str">
        <f t="shared" si="7"/>
        <v/>
      </c>
      <c r="Q46" s="115" t="str">
        <f t="shared" si="8"/>
        <v/>
      </c>
      <c r="R46" s="115" t="str">
        <f t="shared" si="9"/>
        <v/>
      </c>
      <c r="S46" s="115" t="str">
        <f t="shared" si="10"/>
        <v/>
      </c>
      <c r="T46" s="116" t="str">
        <f t="shared" si="11"/>
        <v/>
      </c>
      <c r="V46" s="117" t="str">
        <f t="shared" si="0"/>
        <v xml:space="preserve">   </v>
      </c>
    </row>
    <row r="47" spans="5:22">
      <c r="E47" s="118" t="s">
        <v>64</v>
      </c>
      <c r="F47" s="113" t="str">
        <f t="shared" si="13"/>
        <v>-</v>
      </c>
      <c r="G47" s="114" t="str">
        <f t="shared" si="6"/>
        <v/>
      </c>
      <c r="H47" s="114" t="str">
        <f t="shared" si="12"/>
        <v/>
      </c>
      <c r="J47" s="113" t="str">
        <f t="shared" si="3"/>
        <v>-</v>
      </c>
      <c r="K47" s="113">
        <f t="shared" si="4"/>
        <v>0</v>
      </c>
      <c r="L47" s="114" t="str">
        <f t="shared" si="14"/>
        <v/>
      </c>
      <c r="O47" s="120">
        <v>34</v>
      </c>
      <c r="P47" s="115" t="str">
        <f t="shared" si="7"/>
        <v/>
      </c>
      <c r="Q47" s="115" t="str">
        <f t="shared" si="8"/>
        <v/>
      </c>
      <c r="R47" s="115" t="str">
        <f t="shared" si="9"/>
        <v/>
      </c>
      <c r="S47" s="115" t="str">
        <f t="shared" si="10"/>
        <v/>
      </c>
      <c r="T47" s="116" t="str">
        <f t="shared" si="11"/>
        <v/>
      </c>
      <c r="V47" s="117" t="str">
        <f t="shared" si="0"/>
        <v xml:space="preserve">   </v>
      </c>
    </row>
    <row r="48" spans="5:22">
      <c r="E48" s="118" t="s">
        <v>64</v>
      </c>
      <c r="F48" s="113" t="str">
        <f t="shared" si="13"/>
        <v>-</v>
      </c>
      <c r="G48" s="114" t="str">
        <f t="shared" si="6"/>
        <v/>
      </c>
      <c r="H48" s="114" t="str">
        <f t="shared" si="12"/>
        <v/>
      </c>
      <c r="J48" s="113" t="str">
        <f t="shared" si="3"/>
        <v>-</v>
      </c>
      <c r="K48" s="113">
        <f t="shared" si="4"/>
        <v>0</v>
      </c>
      <c r="L48" s="114" t="str">
        <f t="shared" si="14"/>
        <v/>
      </c>
      <c r="O48" s="120">
        <v>35</v>
      </c>
      <c r="P48" s="115" t="str">
        <f t="shared" si="7"/>
        <v/>
      </c>
      <c r="Q48" s="115" t="str">
        <f t="shared" si="8"/>
        <v/>
      </c>
      <c r="R48" s="115" t="str">
        <f t="shared" si="9"/>
        <v/>
      </c>
      <c r="S48" s="115" t="str">
        <f t="shared" si="10"/>
        <v/>
      </c>
      <c r="T48" s="116" t="str">
        <f t="shared" si="11"/>
        <v/>
      </c>
      <c r="V48" s="117" t="str">
        <f t="shared" si="0"/>
        <v xml:space="preserve">   </v>
      </c>
    </row>
    <row r="49" spans="5:22">
      <c r="E49" s="118" t="s">
        <v>64</v>
      </c>
      <c r="F49" s="113" t="str">
        <f t="shared" si="13"/>
        <v>-</v>
      </c>
      <c r="G49" s="114" t="str">
        <f t="shared" si="6"/>
        <v/>
      </c>
      <c r="H49" s="114" t="str">
        <f t="shared" si="12"/>
        <v/>
      </c>
      <c r="J49" s="113" t="str">
        <f t="shared" si="3"/>
        <v>-</v>
      </c>
      <c r="K49" s="113">
        <f t="shared" si="4"/>
        <v>0</v>
      </c>
      <c r="L49" s="114" t="str">
        <f t="shared" si="14"/>
        <v/>
      </c>
      <c r="O49" s="120">
        <v>36</v>
      </c>
      <c r="P49" s="115" t="str">
        <f t="shared" si="7"/>
        <v/>
      </c>
      <c r="Q49" s="115" t="str">
        <f t="shared" si="8"/>
        <v/>
      </c>
      <c r="R49" s="115" t="str">
        <f t="shared" si="9"/>
        <v/>
      </c>
      <c r="S49" s="115" t="str">
        <f t="shared" si="10"/>
        <v/>
      </c>
      <c r="T49" s="116" t="str">
        <f t="shared" si="11"/>
        <v/>
      </c>
      <c r="V49" s="117" t="str">
        <f t="shared" si="0"/>
        <v xml:space="preserve">   </v>
      </c>
    </row>
    <row r="50" spans="5:22">
      <c r="E50" s="118" t="s">
        <v>64</v>
      </c>
      <c r="F50" s="113" t="str">
        <f t="shared" si="13"/>
        <v>-</v>
      </c>
      <c r="G50" s="114" t="str">
        <f t="shared" si="6"/>
        <v/>
      </c>
      <c r="H50" s="114" t="str">
        <f t="shared" si="12"/>
        <v/>
      </c>
      <c r="J50" s="113" t="str">
        <f t="shared" si="3"/>
        <v>-</v>
      </c>
      <c r="K50" s="113">
        <f t="shared" si="4"/>
        <v>0</v>
      </c>
      <c r="L50" s="114" t="str">
        <f t="shared" si="14"/>
        <v/>
      </c>
      <c r="O50" s="120">
        <v>37</v>
      </c>
      <c r="P50" s="115" t="str">
        <f t="shared" si="7"/>
        <v/>
      </c>
      <c r="Q50" s="115" t="str">
        <f t="shared" si="8"/>
        <v/>
      </c>
      <c r="R50" s="115" t="str">
        <f t="shared" si="9"/>
        <v/>
      </c>
      <c r="S50" s="115" t="str">
        <f t="shared" si="10"/>
        <v/>
      </c>
      <c r="T50" s="116" t="str">
        <f t="shared" si="11"/>
        <v/>
      </c>
      <c r="V50" s="117" t="str">
        <f t="shared" si="0"/>
        <v xml:space="preserve">   </v>
      </c>
    </row>
    <row r="51" spans="5:22">
      <c r="E51" s="118" t="s">
        <v>64</v>
      </c>
      <c r="F51" s="113" t="str">
        <f t="shared" si="13"/>
        <v>-</v>
      </c>
      <c r="G51" s="114" t="str">
        <f t="shared" si="6"/>
        <v/>
      </c>
      <c r="H51" s="114" t="str">
        <f t="shared" si="12"/>
        <v/>
      </c>
      <c r="J51" s="113" t="str">
        <f t="shared" si="3"/>
        <v>-</v>
      </c>
      <c r="K51" s="113">
        <f t="shared" si="4"/>
        <v>0</v>
      </c>
      <c r="L51" s="114" t="str">
        <f t="shared" si="14"/>
        <v/>
      </c>
      <c r="O51" s="120">
        <v>38</v>
      </c>
      <c r="P51" s="115" t="str">
        <f t="shared" si="7"/>
        <v/>
      </c>
      <c r="Q51" s="115" t="str">
        <f t="shared" si="8"/>
        <v/>
      </c>
      <c r="R51" s="115" t="str">
        <f t="shared" si="9"/>
        <v/>
      </c>
      <c r="S51" s="115" t="str">
        <f t="shared" si="10"/>
        <v/>
      </c>
      <c r="T51" s="116" t="str">
        <f t="shared" si="11"/>
        <v/>
      </c>
      <c r="V51" s="117" t="str">
        <f t="shared" si="0"/>
        <v xml:space="preserve">   </v>
      </c>
    </row>
    <row r="52" spans="5:22">
      <c r="E52" s="118" t="s">
        <v>64</v>
      </c>
      <c r="F52" s="113" t="str">
        <f t="shared" si="13"/>
        <v>-</v>
      </c>
      <c r="G52" s="114" t="str">
        <f t="shared" si="6"/>
        <v/>
      </c>
      <c r="H52" s="114" t="str">
        <f t="shared" si="12"/>
        <v/>
      </c>
      <c r="J52" s="113" t="str">
        <f t="shared" si="3"/>
        <v>-</v>
      </c>
      <c r="K52" s="113">
        <f t="shared" si="4"/>
        <v>0</v>
      </c>
      <c r="L52" s="114" t="str">
        <f t="shared" si="14"/>
        <v/>
      </c>
      <c r="O52" s="120">
        <v>39</v>
      </c>
      <c r="P52" s="115" t="str">
        <f t="shared" si="7"/>
        <v/>
      </c>
      <c r="Q52" s="115" t="str">
        <f t="shared" si="8"/>
        <v/>
      </c>
      <c r="R52" s="115" t="str">
        <f t="shared" si="9"/>
        <v/>
      </c>
      <c r="S52" s="115" t="str">
        <f t="shared" si="10"/>
        <v/>
      </c>
      <c r="T52" s="116" t="str">
        <f t="shared" si="11"/>
        <v/>
      </c>
      <c r="V52" s="117" t="str">
        <f t="shared" si="0"/>
        <v xml:space="preserve">   </v>
      </c>
    </row>
    <row r="53" spans="5:22">
      <c r="E53" s="118" t="s">
        <v>64</v>
      </c>
      <c r="F53" s="113" t="str">
        <f t="shared" si="13"/>
        <v>-</v>
      </c>
      <c r="G53" s="114" t="str">
        <f t="shared" si="6"/>
        <v/>
      </c>
      <c r="H53" s="114" t="str">
        <f t="shared" si="12"/>
        <v/>
      </c>
      <c r="J53" s="113" t="str">
        <f t="shared" si="3"/>
        <v>-</v>
      </c>
      <c r="K53" s="113">
        <f t="shared" si="4"/>
        <v>0</v>
      </c>
      <c r="L53" s="114" t="str">
        <f t="shared" si="14"/>
        <v/>
      </c>
      <c r="O53" s="120">
        <v>40</v>
      </c>
      <c r="P53" s="115" t="str">
        <f t="shared" si="7"/>
        <v/>
      </c>
      <c r="Q53" s="115" t="str">
        <f t="shared" si="8"/>
        <v/>
      </c>
      <c r="R53" s="115" t="str">
        <f t="shared" si="9"/>
        <v/>
      </c>
      <c r="S53" s="115" t="str">
        <f t="shared" si="10"/>
        <v/>
      </c>
      <c r="T53" s="116" t="str">
        <f t="shared" si="11"/>
        <v/>
      </c>
      <c r="V53" s="117" t="str">
        <f t="shared" si="0"/>
        <v xml:space="preserve">   </v>
      </c>
    </row>
    <row r="54" spans="5:22">
      <c r="E54" s="118" t="s">
        <v>64</v>
      </c>
      <c r="F54" s="113" t="str">
        <f t="shared" si="13"/>
        <v>-</v>
      </c>
      <c r="G54" s="114" t="str">
        <f t="shared" si="6"/>
        <v/>
      </c>
      <c r="H54" s="114" t="str">
        <f t="shared" si="12"/>
        <v/>
      </c>
      <c r="J54" s="113" t="str">
        <f t="shared" si="3"/>
        <v>-</v>
      </c>
      <c r="K54" s="113">
        <f t="shared" si="4"/>
        <v>0</v>
      </c>
      <c r="L54" s="114" t="str">
        <f t="shared" si="14"/>
        <v/>
      </c>
      <c r="O54" s="120">
        <v>41</v>
      </c>
      <c r="P54" s="115" t="str">
        <f t="shared" si="7"/>
        <v/>
      </c>
      <c r="Q54" s="115" t="str">
        <f t="shared" si="8"/>
        <v/>
      </c>
      <c r="R54" s="115" t="str">
        <f t="shared" si="9"/>
        <v/>
      </c>
      <c r="S54" s="115" t="str">
        <f t="shared" si="10"/>
        <v/>
      </c>
      <c r="T54" s="116" t="str">
        <f t="shared" si="11"/>
        <v/>
      </c>
      <c r="V54" s="117" t="str">
        <f t="shared" si="0"/>
        <v xml:space="preserve">   </v>
      </c>
    </row>
    <row r="55" spans="5:22">
      <c r="E55" s="118" t="s">
        <v>64</v>
      </c>
      <c r="F55" s="113" t="str">
        <f t="shared" si="13"/>
        <v>-</v>
      </c>
      <c r="G55" s="114" t="str">
        <f t="shared" si="6"/>
        <v/>
      </c>
      <c r="H55" s="114" t="str">
        <f t="shared" si="12"/>
        <v/>
      </c>
      <c r="J55" s="113" t="str">
        <f t="shared" si="3"/>
        <v>-</v>
      </c>
      <c r="K55" s="113">
        <f t="shared" si="4"/>
        <v>0</v>
      </c>
      <c r="L55" s="114" t="str">
        <f t="shared" si="14"/>
        <v/>
      </c>
      <c r="O55" s="120">
        <v>42</v>
      </c>
      <c r="P55" s="115" t="str">
        <f t="shared" si="7"/>
        <v/>
      </c>
      <c r="Q55" s="115" t="str">
        <f t="shared" si="8"/>
        <v/>
      </c>
      <c r="R55" s="115" t="str">
        <f t="shared" si="9"/>
        <v/>
      </c>
      <c r="S55" s="115" t="str">
        <f t="shared" si="10"/>
        <v/>
      </c>
      <c r="T55" s="116" t="str">
        <f t="shared" si="11"/>
        <v/>
      </c>
      <c r="V55" s="117" t="str">
        <f t="shared" si="0"/>
        <v xml:space="preserve">   </v>
      </c>
    </row>
    <row r="56" spans="5:22">
      <c r="E56" s="118" t="s">
        <v>64</v>
      </c>
      <c r="F56" s="113" t="str">
        <f t="shared" si="13"/>
        <v>-</v>
      </c>
      <c r="G56" s="114" t="str">
        <f t="shared" si="6"/>
        <v/>
      </c>
      <c r="H56" s="114" t="str">
        <f t="shared" si="12"/>
        <v/>
      </c>
      <c r="J56" s="113" t="str">
        <f t="shared" si="3"/>
        <v>-</v>
      </c>
      <c r="K56" s="113">
        <f t="shared" si="4"/>
        <v>0</v>
      </c>
      <c r="L56" s="114" t="str">
        <f t="shared" si="14"/>
        <v/>
      </c>
      <c r="O56" s="120">
        <v>43</v>
      </c>
      <c r="P56" s="115" t="str">
        <f t="shared" si="7"/>
        <v/>
      </c>
      <c r="Q56" s="115" t="str">
        <f t="shared" si="8"/>
        <v/>
      </c>
      <c r="R56" s="115" t="str">
        <f t="shared" si="9"/>
        <v/>
      </c>
      <c r="S56" s="115" t="str">
        <f t="shared" si="10"/>
        <v/>
      </c>
      <c r="T56" s="116" t="str">
        <f t="shared" si="11"/>
        <v/>
      </c>
      <c r="V56" s="117" t="str">
        <f t="shared" si="0"/>
        <v xml:space="preserve">   </v>
      </c>
    </row>
    <row r="57" spans="5:22">
      <c r="E57" s="118" t="s">
        <v>64</v>
      </c>
      <c r="F57" s="113" t="str">
        <f t="shared" si="13"/>
        <v>-</v>
      </c>
      <c r="G57" s="114" t="str">
        <f t="shared" si="6"/>
        <v/>
      </c>
      <c r="H57" s="114" t="str">
        <f t="shared" si="12"/>
        <v/>
      </c>
      <c r="J57" s="113" t="str">
        <f t="shared" si="3"/>
        <v>-</v>
      </c>
      <c r="K57" s="113">
        <f t="shared" si="4"/>
        <v>0</v>
      </c>
      <c r="L57" s="114" t="str">
        <f t="shared" si="14"/>
        <v/>
      </c>
      <c r="O57" s="120">
        <v>44</v>
      </c>
      <c r="P57" s="115" t="str">
        <f t="shared" si="7"/>
        <v/>
      </c>
      <c r="Q57" s="115" t="str">
        <f t="shared" si="8"/>
        <v/>
      </c>
      <c r="R57" s="115" t="str">
        <f t="shared" si="9"/>
        <v/>
      </c>
      <c r="S57" s="115" t="str">
        <f t="shared" si="10"/>
        <v/>
      </c>
      <c r="T57" s="116" t="str">
        <f t="shared" si="11"/>
        <v/>
      </c>
      <c r="V57" s="117" t="str">
        <f t="shared" si="0"/>
        <v xml:space="preserve">   </v>
      </c>
    </row>
    <row r="58" spans="5:22">
      <c r="E58" s="118" t="s">
        <v>64</v>
      </c>
      <c r="F58" s="113" t="str">
        <f t="shared" si="13"/>
        <v>-</v>
      </c>
      <c r="G58" s="114" t="str">
        <f t="shared" si="6"/>
        <v/>
      </c>
      <c r="H58" s="114" t="str">
        <f t="shared" si="12"/>
        <v/>
      </c>
      <c r="J58" s="113" t="str">
        <f t="shared" si="3"/>
        <v>-</v>
      </c>
      <c r="K58" s="113">
        <f t="shared" si="4"/>
        <v>0</v>
      </c>
      <c r="L58" s="114" t="str">
        <f t="shared" si="14"/>
        <v/>
      </c>
      <c r="O58" s="120">
        <v>45</v>
      </c>
      <c r="P58" s="115" t="str">
        <f t="shared" si="7"/>
        <v/>
      </c>
      <c r="Q58" s="115" t="str">
        <f t="shared" si="8"/>
        <v/>
      </c>
      <c r="R58" s="115" t="str">
        <f t="shared" si="9"/>
        <v/>
      </c>
      <c r="S58" s="115" t="str">
        <f t="shared" si="10"/>
        <v/>
      </c>
      <c r="T58" s="116" t="str">
        <f t="shared" si="11"/>
        <v/>
      </c>
      <c r="V58" s="117" t="str">
        <f t="shared" si="0"/>
        <v xml:space="preserve">   </v>
      </c>
    </row>
    <row r="59" spans="5:22">
      <c r="E59" s="118" t="s">
        <v>64</v>
      </c>
      <c r="F59" s="113" t="str">
        <f t="shared" si="13"/>
        <v>-</v>
      </c>
      <c r="G59" s="114" t="str">
        <f t="shared" si="6"/>
        <v/>
      </c>
      <c r="H59" s="114" t="str">
        <f t="shared" si="12"/>
        <v/>
      </c>
      <c r="J59" s="113" t="str">
        <f t="shared" si="3"/>
        <v>-</v>
      </c>
      <c r="K59" s="113">
        <f t="shared" si="4"/>
        <v>0</v>
      </c>
      <c r="L59" s="114" t="str">
        <f t="shared" si="14"/>
        <v/>
      </c>
      <c r="O59" s="120">
        <v>46</v>
      </c>
      <c r="P59" s="115" t="str">
        <f t="shared" si="7"/>
        <v/>
      </c>
      <c r="Q59" s="115" t="str">
        <f t="shared" si="8"/>
        <v/>
      </c>
      <c r="R59" s="115" t="str">
        <f t="shared" si="9"/>
        <v/>
      </c>
      <c r="S59" s="115" t="str">
        <f t="shared" si="10"/>
        <v/>
      </c>
      <c r="T59" s="116" t="str">
        <f t="shared" si="11"/>
        <v/>
      </c>
      <c r="V59" s="117" t="str">
        <f t="shared" si="0"/>
        <v xml:space="preserve">   </v>
      </c>
    </row>
    <row r="60" spans="5:22">
      <c r="E60" s="118" t="s">
        <v>64</v>
      </c>
      <c r="F60" s="113" t="str">
        <f t="shared" si="13"/>
        <v>-</v>
      </c>
      <c r="G60" s="114" t="str">
        <f t="shared" si="6"/>
        <v/>
      </c>
      <c r="H60" s="114" t="str">
        <f t="shared" si="12"/>
        <v/>
      </c>
      <c r="J60" s="113" t="str">
        <f t="shared" si="3"/>
        <v>-</v>
      </c>
      <c r="K60" s="113">
        <f t="shared" si="4"/>
        <v>0</v>
      </c>
      <c r="L60" s="114" t="str">
        <f t="shared" si="14"/>
        <v/>
      </c>
      <c r="O60" s="120">
        <v>47</v>
      </c>
      <c r="P60" s="115" t="str">
        <f t="shared" si="7"/>
        <v/>
      </c>
      <c r="Q60" s="115" t="str">
        <f t="shared" si="8"/>
        <v/>
      </c>
      <c r="R60" s="115" t="str">
        <f t="shared" si="9"/>
        <v/>
      </c>
      <c r="S60" s="115" t="str">
        <f t="shared" si="10"/>
        <v/>
      </c>
      <c r="T60" s="116" t="str">
        <f t="shared" si="11"/>
        <v/>
      </c>
      <c r="V60" s="117" t="str">
        <f t="shared" si="0"/>
        <v xml:space="preserve">   </v>
      </c>
    </row>
    <row r="61" spans="5:22">
      <c r="E61" s="118" t="s">
        <v>64</v>
      </c>
      <c r="F61" s="113" t="str">
        <f t="shared" si="13"/>
        <v>-</v>
      </c>
      <c r="G61" s="114" t="str">
        <f t="shared" si="6"/>
        <v/>
      </c>
      <c r="H61" s="114" t="str">
        <f t="shared" si="12"/>
        <v/>
      </c>
      <c r="J61" s="113" t="str">
        <f t="shared" si="3"/>
        <v>-</v>
      </c>
      <c r="K61" s="113">
        <f t="shared" si="4"/>
        <v>0</v>
      </c>
      <c r="L61" s="114" t="str">
        <f t="shared" si="14"/>
        <v/>
      </c>
      <c r="O61" s="120">
        <v>48</v>
      </c>
      <c r="P61" s="115" t="str">
        <f t="shared" si="7"/>
        <v/>
      </c>
      <c r="Q61" s="115" t="str">
        <f t="shared" si="8"/>
        <v/>
      </c>
      <c r="R61" s="115" t="str">
        <f t="shared" si="9"/>
        <v/>
      </c>
      <c r="S61" s="115" t="str">
        <f t="shared" si="10"/>
        <v/>
      </c>
      <c r="T61" s="116" t="str">
        <f t="shared" si="11"/>
        <v/>
      </c>
      <c r="V61" s="117" t="str">
        <f t="shared" si="0"/>
        <v xml:space="preserve">   </v>
      </c>
    </row>
    <row r="62" spans="5:22">
      <c r="E62" s="118" t="s">
        <v>64</v>
      </c>
      <c r="F62" s="113" t="str">
        <f t="shared" si="13"/>
        <v>-</v>
      </c>
      <c r="G62" s="114" t="str">
        <f t="shared" si="6"/>
        <v/>
      </c>
      <c r="H62" s="114" t="str">
        <f t="shared" si="12"/>
        <v/>
      </c>
      <c r="J62" s="113" t="str">
        <f t="shared" si="3"/>
        <v>-</v>
      </c>
      <c r="K62" s="113">
        <f t="shared" si="4"/>
        <v>0</v>
      </c>
      <c r="L62" s="114" t="str">
        <f t="shared" si="14"/>
        <v/>
      </c>
      <c r="O62" s="120">
        <v>49</v>
      </c>
      <c r="P62" s="115" t="str">
        <f t="shared" si="7"/>
        <v/>
      </c>
      <c r="Q62" s="115" t="str">
        <f t="shared" si="8"/>
        <v/>
      </c>
      <c r="R62" s="115" t="str">
        <f t="shared" si="9"/>
        <v/>
      </c>
      <c r="S62" s="115" t="str">
        <f t="shared" si="10"/>
        <v/>
      </c>
      <c r="T62" s="116" t="str">
        <f t="shared" si="11"/>
        <v/>
      </c>
      <c r="V62" s="117" t="str">
        <f t="shared" si="0"/>
        <v xml:space="preserve">   </v>
      </c>
    </row>
    <row r="63" spans="5:22">
      <c r="E63" s="118" t="s">
        <v>64</v>
      </c>
      <c r="F63" s="113" t="str">
        <f t="shared" si="13"/>
        <v>-</v>
      </c>
      <c r="G63" s="114" t="str">
        <f t="shared" si="6"/>
        <v/>
      </c>
      <c r="H63" s="114" t="str">
        <f t="shared" si="12"/>
        <v/>
      </c>
      <c r="J63" s="113" t="str">
        <f t="shared" si="3"/>
        <v>-</v>
      </c>
      <c r="K63" s="113">
        <f t="shared" si="4"/>
        <v>0</v>
      </c>
      <c r="L63" s="114" t="str">
        <f t="shared" si="14"/>
        <v/>
      </c>
      <c r="O63" s="120">
        <v>50</v>
      </c>
      <c r="P63" s="115" t="str">
        <f t="shared" si="7"/>
        <v/>
      </c>
      <c r="Q63" s="115" t="str">
        <f t="shared" si="8"/>
        <v/>
      </c>
      <c r="R63" s="115" t="str">
        <f t="shared" si="9"/>
        <v/>
      </c>
      <c r="S63" s="115" t="str">
        <f t="shared" si="10"/>
        <v/>
      </c>
      <c r="T63" s="116" t="str">
        <f t="shared" si="11"/>
        <v/>
      </c>
      <c r="V63" s="117" t="str">
        <f t="shared" si="0"/>
        <v xml:space="preserve">   </v>
      </c>
    </row>
    <row r="64" spans="5:22">
      <c r="E64" s="118" t="s">
        <v>64</v>
      </c>
      <c r="F64" s="113" t="str">
        <f t="shared" si="13"/>
        <v>-</v>
      </c>
      <c r="G64" s="114" t="str">
        <f t="shared" si="6"/>
        <v/>
      </c>
      <c r="H64" s="114" t="str">
        <f t="shared" si="12"/>
        <v/>
      </c>
      <c r="J64" s="113" t="str">
        <f t="shared" si="3"/>
        <v>-</v>
      </c>
      <c r="K64" s="113">
        <f t="shared" si="4"/>
        <v>0</v>
      </c>
      <c r="L64" s="114" t="str">
        <f t="shared" si="14"/>
        <v/>
      </c>
      <c r="O64" s="120">
        <v>51</v>
      </c>
      <c r="P64" s="115" t="str">
        <f t="shared" si="7"/>
        <v/>
      </c>
      <c r="Q64" s="115" t="str">
        <f t="shared" si="8"/>
        <v/>
      </c>
      <c r="R64" s="115" t="str">
        <f t="shared" si="9"/>
        <v/>
      </c>
      <c r="S64" s="115" t="str">
        <f t="shared" si="10"/>
        <v/>
      </c>
      <c r="T64" s="116" t="str">
        <f t="shared" si="11"/>
        <v/>
      </c>
      <c r="V64" s="117" t="str">
        <f t="shared" si="0"/>
        <v xml:space="preserve">   </v>
      </c>
    </row>
    <row r="65" spans="5:22">
      <c r="E65" s="118" t="s">
        <v>64</v>
      </c>
      <c r="F65" s="113" t="str">
        <f t="shared" si="13"/>
        <v>-</v>
      </c>
      <c r="G65" s="114" t="str">
        <f t="shared" si="6"/>
        <v/>
      </c>
      <c r="H65" s="114" t="str">
        <f t="shared" si="12"/>
        <v/>
      </c>
      <c r="J65" s="113" t="str">
        <f t="shared" si="3"/>
        <v>-</v>
      </c>
      <c r="K65" s="113">
        <f t="shared" si="4"/>
        <v>0</v>
      </c>
      <c r="L65" s="114" t="str">
        <f t="shared" si="14"/>
        <v/>
      </c>
      <c r="O65" s="120">
        <v>52</v>
      </c>
      <c r="P65" s="115" t="str">
        <f t="shared" si="7"/>
        <v/>
      </c>
      <c r="Q65" s="115" t="str">
        <f t="shared" si="8"/>
        <v/>
      </c>
      <c r="R65" s="115" t="str">
        <f t="shared" si="9"/>
        <v/>
      </c>
      <c r="S65" s="115" t="str">
        <f t="shared" si="10"/>
        <v/>
      </c>
      <c r="T65" s="116" t="str">
        <f t="shared" si="11"/>
        <v/>
      </c>
      <c r="V65" s="117" t="str">
        <f t="shared" si="0"/>
        <v xml:space="preserve">   </v>
      </c>
    </row>
    <row r="66" spans="5:22">
      <c r="E66" s="118" t="s">
        <v>64</v>
      </c>
      <c r="F66" s="113" t="str">
        <f t="shared" si="13"/>
        <v>-</v>
      </c>
      <c r="G66" s="114" t="str">
        <f t="shared" si="6"/>
        <v/>
      </c>
      <c r="H66" s="114" t="str">
        <f t="shared" si="12"/>
        <v/>
      </c>
      <c r="J66" s="113" t="str">
        <f t="shared" si="3"/>
        <v>-</v>
      </c>
      <c r="K66" s="113">
        <f t="shared" si="4"/>
        <v>0</v>
      </c>
      <c r="L66" s="114" t="str">
        <f t="shared" si="14"/>
        <v/>
      </c>
      <c r="O66" s="120">
        <v>53</v>
      </c>
      <c r="P66" s="115" t="str">
        <f t="shared" si="7"/>
        <v/>
      </c>
      <c r="Q66" s="115" t="str">
        <f t="shared" si="8"/>
        <v/>
      </c>
      <c r="R66" s="115" t="str">
        <f t="shared" si="9"/>
        <v/>
      </c>
      <c r="S66" s="115" t="str">
        <f t="shared" si="10"/>
        <v/>
      </c>
      <c r="T66" s="116" t="str">
        <f t="shared" si="11"/>
        <v/>
      </c>
      <c r="V66" s="117" t="str">
        <f t="shared" si="0"/>
        <v xml:space="preserve">   </v>
      </c>
    </row>
    <row r="67" spans="5:22">
      <c r="E67" s="118" t="s">
        <v>64</v>
      </c>
      <c r="F67" s="113" t="str">
        <f t="shared" si="13"/>
        <v>-</v>
      </c>
      <c r="G67" s="114" t="str">
        <f t="shared" si="6"/>
        <v/>
      </c>
      <c r="H67" s="114" t="str">
        <f t="shared" si="12"/>
        <v/>
      </c>
      <c r="J67" s="113" t="str">
        <f t="shared" si="3"/>
        <v>-</v>
      </c>
      <c r="K67" s="113">
        <f t="shared" si="4"/>
        <v>0</v>
      </c>
      <c r="L67" s="114" t="str">
        <f t="shared" si="14"/>
        <v/>
      </c>
      <c r="O67" s="120">
        <v>54</v>
      </c>
      <c r="P67" s="115" t="str">
        <f t="shared" si="7"/>
        <v/>
      </c>
      <c r="Q67" s="115" t="str">
        <f t="shared" si="8"/>
        <v/>
      </c>
      <c r="R67" s="115" t="str">
        <f t="shared" si="9"/>
        <v/>
      </c>
      <c r="S67" s="115" t="str">
        <f t="shared" si="10"/>
        <v/>
      </c>
      <c r="T67" s="116" t="str">
        <f t="shared" si="11"/>
        <v/>
      </c>
      <c r="V67" s="117" t="str">
        <f t="shared" si="0"/>
        <v xml:space="preserve">   </v>
      </c>
    </row>
    <row r="68" spans="5:22">
      <c r="E68" s="118" t="s">
        <v>64</v>
      </c>
      <c r="F68" s="113" t="str">
        <f t="shared" si="13"/>
        <v>-</v>
      </c>
      <c r="G68" s="114" t="str">
        <f t="shared" si="6"/>
        <v/>
      </c>
      <c r="H68" s="114" t="str">
        <f t="shared" si="12"/>
        <v/>
      </c>
      <c r="J68" s="113" t="str">
        <f t="shared" si="3"/>
        <v>-</v>
      </c>
      <c r="K68" s="113">
        <f t="shared" si="4"/>
        <v>0</v>
      </c>
      <c r="L68" s="114" t="str">
        <f t="shared" si="14"/>
        <v/>
      </c>
      <c r="O68" s="120">
        <v>55</v>
      </c>
      <c r="P68" s="115" t="str">
        <f t="shared" si="7"/>
        <v/>
      </c>
      <c r="Q68" s="115" t="str">
        <f t="shared" si="8"/>
        <v/>
      </c>
      <c r="R68" s="115" t="str">
        <f t="shared" si="9"/>
        <v/>
      </c>
      <c r="S68" s="115" t="str">
        <f t="shared" si="10"/>
        <v/>
      </c>
      <c r="T68" s="116" t="str">
        <f t="shared" si="11"/>
        <v/>
      </c>
      <c r="V68" s="117" t="str">
        <f t="shared" si="0"/>
        <v xml:space="preserve">   </v>
      </c>
    </row>
    <row r="69" spans="5:22">
      <c r="E69" s="118" t="s">
        <v>64</v>
      </c>
      <c r="F69" s="113" t="str">
        <f t="shared" si="13"/>
        <v>-</v>
      </c>
      <c r="G69" s="114" t="str">
        <f t="shared" si="6"/>
        <v/>
      </c>
      <c r="H69" s="114" t="str">
        <f t="shared" si="12"/>
        <v/>
      </c>
      <c r="J69" s="113" t="str">
        <f t="shared" si="3"/>
        <v>-</v>
      </c>
      <c r="K69" s="113">
        <f t="shared" si="4"/>
        <v>0</v>
      </c>
      <c r="L69" s="114" t="str">
        <f t="shared" si="14"/>
        <v/>
      </c>
      <c r="O69" s="120">
        <v>56</v>
      </c>
      <c r="P69" s="115" t="str">
        <f t="shared" si="7"/>
        <v/>
      </c>
      <c r="Q69" s="115" t="str">
        <f t="shared" si="8"/>
        <v/>
      </c>
      <c r="R69" s="115" t="str">
        <f t="shared" si="9"/>
        <v/>
      </c>
      <c r="S69" s="115" t="str">
        <f t="shared" si="10"/>
        <v/>
      </c>
      <c r="T69" s="116" t="str">
        <f t="shared" si="11"/>
        <v/>
      </c>
      <c r="V69" s="117" t="str">
        <f t="shared" si="0"/>
        <v xml:space="preserve">   </v>
      </c>
    </row>
    <row r="70" spans="5:22">
      <c r="E70" s="118" t="s">
        <v>64</v>
      </c>
      <c r="F70" s="113" t="str">
        <f t="shared" si="13"/>
        <v>-</v>
      </c>
      <c r="G70" s="114" t="str">
        <f t="shared" si="6"/>
        <v/>
      </c>
      <c r="H70" s="114" t="str">
        <f t="shared" si="12"/>
        <v/>
      </c>
      <c r="J70" s="113" t="str">
        <f t="shared" si="3"/>
        <v>-</v>
      </c>
      <c r="K70" s="113">
        <f t="shared" si="4"/>
        <v>0</v>
      </c>
      <c r="L70" s="114" t="str">
        <f t="shared" si="14"/>
        <v/>
      </c>
      <c r="O70" s="120">
        <v>57</v>
      </c>
      <c r="P70" s="115" t="str">
        <f t="shared" si="7"/>
        <v/>
      </c>
      <c r="Q70" s="115" t="str">
        <f t="shared" si="8"/>
        <v/>
      </c>
      <c r="R70" s="115" t="str">
        <f t="shared" si="9"/>
        <v/>
      </c>
      <c r="S70" s="115" t="str">
        <f t="shared" si="10"/>
        <v/>
      </c>
      <c r="T70" s="116" t="str">
        <f t="shared" si="11"/>
        <v/>
      </c>
      <c r="V70" s="117" t="str">
        <f t="shared" ref="V70:V133" si="15">CONCATENATE(A70," ",B70," ",C70," ",D70)</f>
        <v xml:space="preserve">   </v>
      </c>
    </row>
    <row r="71" spans="5:22">
      <c r="E71" s="118" t="s">
        <v>64</v>
      </c>
      <c r="F71" s="113" t="str">
        <f t="shared" si="13"/>
        <v>-</v>
      </c>
      <c r="G71" s="114" t="str">
        <f t="shared" si="6"/>
        <v/>
      </c>
      <c r="H71" s="114" t="str">
        <f t="shared" si="12"/>
        <v/>
      </c>
      <c r="J71" s="113" t="str">
        <f t="shared" si="3"/>
        <v>-</v>
      </c>
      <c r="K71" s="113">
        <f t="shared" si="4"/>
        <v>0</v>
      </c>
      <c r="L71" s="114" t="str">
        <f t="shared" si="14"/>
        <v/>
      </c>
      <c r="O71" s="120">
        <v>58</v>
      </c>
      <c r="P71" s="115" t="str">
        <f t="shared" si="7"/>
        <v/>
      </c>
      <c r="Q71" s="115" t="str">
        <f t="shared" si="8"/>
        <v/>
      </c>
      <c r="R71" s="115" t="str">
        <f t="shared" si="9"/>
        <v/>
      </c>
      <c r="S71" s="115" t="str">
        <f t="shared" si="10"/>
        <v/>
      </c>
      <c r="T71" s="116" t="str">
        <f t="shared" si="11"/>
        <v/>
      </c>
      <c r="V71" s="117" t="str">
        <f t="shared" si="15"/>
        <v xml:space="preserve">   </v>
      </c>
    </row>
    <row r="72" spans="5:22">
      <c r="E72" s="118" t="s">
        <v>64</v>
      </c>
      <c r="F72" s="113" t="str">
        <f t="shared" si="13"/>
        <v>-</v>
      </c>
      <c r="G72" s="114" t="str">
        <f t="shared" si="6"/>
        <v/>
      </c>
      <c r="H72" s="114" t="str">
        <f t="shared" si="12"/>
        <v/>
      </c>
      <c r="J72" s="113" t="str">
        <f t="shared" si="3"/>
        <v>-</v>
      </c>
      <c r="K72" s="113">
        <f t="shared" si="4"/>
        <v>0</v>
      </c>
      <c r="L72" s="114" t="str">
        <f t="shared" si="14"/>
        <v/>
      </c>
      <c r="O72" s="120">
        <v>59</v>
      </c>
      <c r="P72" s="115" t="str">
        <f t="shared" si="7"/>
        <v/>
      </c>
      <c r="Q72" s="115" t="str">
        <f t="shared" si="8"/>
        <v/>
      </c>
      <c r="R72" s="115" t="str">
        <f t="shared" si="9"/>
        <v/>
      </c>
      <c r="S72" s="115" t="str">
        <f t="shared" si="10"/>
        <v/>
      </c>
      <c r="T72" s="116" t="str">
        <f t="shared" si="11"/>
        <v/>
      </c>
      <c r="V72" s="117" t="str">
        <f t="shared" si="15"/>
        <v xml:space="preserve">   </v>
      </c>
    </row>
    <row r="73" spans="5:22">
      <c r="E73" s="118" t="s">
        <v>64</v>
      </c>
      <c r="F73" s="113" t="str">
        <f t="shared" si="13"/>
        <v>-</v>
      </c>
      <c r="G73" s="114" t="str">
        <f t="shared" si="6"/>
        <v/>
      </c>
      <c r="H73" s="114" t="str">
        <f t="shared" si="12"/>
        <v/>
      </c>
      <c r="J73" s="113" t="str">
        <f t="shared" si="3"/>
        <v>-</v>
      </c>
      <c r="K73" s="113">
        <f t="shared" si="4"/>
        <v>0</v>
      </c>
      <c r="L73" s="114" t="str">
        <f t="shared" si="14"/>
        <v/>
      </c>
      <c r="O73" s="120">
        <v>60</v>
      </c>
      <c r="P73" s="115" t="str">
        <f t="shared" si="7"/>
        <v/>
      </c>
      <c r="Q73" s="115" t="str">
        <f t="shared" si="8"/>
        <v/>
      </c>
      <c r="R73" s="115" t="str">
        <f t="shared" si="9"/>
        <v/>
      </c>
      <c r="S73" s="115" t="str">
        <f t="shared" si="10"/>
        <v/>
      </c>
      <c r="T73" s="116" t="str">
        <f t="shared" si="11"/>
        <v/>
      </c>
      <c r="V73" s="117" t="str">
        <f t="shared" si="15"/>
        <v xml:space="preserve">   </v>
      </c>
    </row>
    <row r="74" spans="5:22">
      <c r="E74" s="118" t="s">
        <v>64</v>
      </c>
      <c r="F74" s="113" t="str">
        <f t="shared" si="13"/>
        <v>-</v>
      </c>
      <c r="G74" s="114" t="str">
        <f t="shared" si="6"/>
        <v/>
      </c>
      <c r="H74" s="114" t="str">
        <f t="shared" si="12"/>
        <v/>
      </c>
      <c r="J74" s="113" t="str">
        <f t="shared" si="3"/>
        <v>-</v>
      </c>
      <c r="K74" s="113">
        <f t="shared" si="4"/>
        <v>0</v>
      </c>
      <c r="L74" s="114" t="str">
        <f t="shared" si="14"/>
        <v/>
      </c>
      <c r="O74" s="120">
        <v>61</v>
      </c>
      <c r="P74" s="115" t="str">
        <f t="shared" si="7"/>
        <v/>
      </c>
      <c r="Q74" s="115" t="str">
        <f t="shared" si="8"/>
        <v/>
      </c>
      <c r="R74" s="115" t="str">
        <f t="shared" si="9"/>
        <v/>
      </c>
      <c r="S74" s="115" t="str">
        <f t="shared" si="10"/>
        <v/>
      </c>
      <c r="T74" s="116" t="str">
        <f t="shared" si="11"/>
        <v/>
      </c>
      <c r="V74" s="117" t="str">
        <f t="shared" si="15"/>
        <v xml:space="preserve">   </v>
      </c>
    </row>
    <row r="75" spans="5:22">
      <c r="E75" s="118" t="s">
        <v>64</v>
      </c>
      <c r="F75" s="113" t="str">
        <f t="shared" si="13"/>
        <v>-</v>
      </c>
      <c r="G75" s="114" t="str">
        <f t="shared" si="6"/>
        <v/>
      </c>
      <c r="H75" s="114" t="str">
        <f t="shared" si="12"/>
        <v/>
      </c>
      <c r="J75" s="113" t="str">
        <f t="shared" si="3"/>
        <v>-</v>
      </c>
      <c r="K75" s="113">
        <f t="shared" si="4"/>
        <v>0</v>
      </c>
      <c r="L75" s="114" t="str">
        <f t="shared" si="14"/>
        <v/>
      </c>
      <c r="O75" s="120">
        <v>62</v>
      </c>
      <c r="P75" s="115" t="str">
        <f t="shared" si="7"/>
        <v/>
      </c>
      <c r="Q75" s="115" t="str">
        <f t="shared" si="8"/>
        <v/>
      </c>
      <c r="R75" s="115" t="str">
        <f t="shared" si="9"/>
        <v/>
      </c>
      <c r="S75" s="115" t="str">
        <f t="shared" si="10"/>
        <v/>
      </c>
      <c r="T75" s="116" t="str">
        <f t="shared" si="11"/>
        <v/>
      </c>
      <c r="V75" s="117" t="str">
        <f t="shared" si="15"/>
        <v xml:space="preserve">   </v>
      </c>
    </row>
    <row r="76" spans="5:22">
      <c r="E76" s="118" t="s">
        <v>64</v>
      </c>
      <c r="F76" s="113" t="str">
        <f t="shared" si="13"/>
        <v>-</v>
      </c>
      <c r="G76" s="114" t="str">
        <f t="shared" si="6"/>
        <v/>
      </c>
      <c r="H76" s="114" t="str">
        <f t="shared" si="12"/>
        <v/>
      </c>
      <c r="J76" s="113" t="str">
        <f t="shared" si="3"/>
        <v>-</v>
      </c>
      <c r="K76" s="113">
        <f t="shared" si="4"/>
        <v>0</v>
      </c>
      <c r="L76" s="114" t="str">
        <f t="shared" si="14"/>
        <v/>
      </c>
      <c r="O76" s="120">
        <v>63</v>
      </c>
      <c r="P76" s="115" t="str">
        <f t="shared" si="7"/>
        <v/>
      </c>
      <c r="Q76" s="115" t="str">
        <f t="shared" si="8"/>
        <v/>
      </c>
      <c r="R76" s="115" t="str">
        <f t="shared" si="9"/>
        <v/>
      </c>
      <c r="S76" s="115" t="str">
        <f t="shared" si="10"/>
        <v/>
      </c>
      <c r="T76" s="116" t="str">
        <f t="shared" si="11"/>
        <v/>
      </c>
      <c r="V76" s="117" t="str">
        <f t="shared" si="15"/>
        <v xml:space="preserve">   </v>
      </c>
    </row>
    <row r="77" spans="5:22">
      <c r="E77" s="118" t="s">
        <v>64</v>
      </c>
      <c r="F77" s="113" t="str">
        <f t="shared" si="13"/>
        <v>-</v>
      </c>
      <c r="G77" s="114" t="str">
        <f t="shared" si="6"/>
        <v/>
      </c>
      <c r="H77" s="114" t="str">
        <f t="shared" si="12"/>
        <v/>
      </c>
      <c r="J77" s="113" t="str">
        <f t="shared" si="3"/>
        <v>-</v>
      </c>
      <c r="K77" s="113">
        <f t="shared" si="4"/>
        <v>0</v>
      </c>
      <c r="L77" s="114" t="str">
        <f t="shared" si="14"/>
        <v/>
      </c>
      <c r="O77" s="120">
        <v>64</v>
      </c>
      <c r="P77" s="115" t="str">
        <f t="shared" si="7"/>
        <v/>
      </c>
      <c r="Q77" s="115" t="str">
        <f t="shared" si="8"/>
        <v/>
      </c>
      <c r="R77" s="115" t="str">
        <f t="shared" si="9"/>
        <v/>
      </c>
      <c r="S77" s="115" t="str">
        <f t="shared" si="10"/>
        <v/>
      </c>
      <c r="T77" s="116" t="str">
        <f t="shared" si="11"/>
        <v/>
      </c>
      <c r="V77" s="117" t="str">
        <f t="shared" si="15"/>
        <v xml:space="preserve">   </v>
      </c>
    </row>
    <row r="78" spans="5:22">
      <c r="E78" s="118" t="s">
        <v>64</v>
      </c>
      <c r="F78" s="113" t="str">
        <f t="shared" ref="F78:F109" si="16">IFERROR(INDEX(A78,MATCH(E78&amp;"*",A78,)),"-")</f>
        <v>-</v>
      </c>
      <c r="G78" s="114" t="str">
        <f t="shared" si="6"/>
        <v/>
      </c>
      <c r="H78" s="114" t="str">
        <f t="shared" si="12"/>
        <v/>
      </c>
      <c r="J78" s="113" t="str">
        <f t="shared" ref="J78:J141" si="17">IF(F78="-","-",LEFT(F78,6))</f>
        <v>-</v>
      </c>
      <c r="K78" s="113">
        <f t="shared" ref="K78:K141" si="18">I78</f>
        <v>0</v>
      </c>
      <c r="L78" s="114" t="str">
        <f t="shared" ref="L78:L109" si="19">IF(F78="-","",B78)</f>
        <v/>
      </c>
      <c r="V78" s="117" t="str">
        <f t="shared" si="15"/>
        <v xml:space="preserve">   </v>
      </c>
    </row>
    <row r="79" spans="5:22">
      <c r="E79" s="118" t="s">
        <v>64</v>
      </c>
      <c r="F79" s="113" t="str">
        <f t="shared" si="16"/>
        <v>-</v>
      </c>
      <c r="G79" s="114" t="str">
        <f t="shared" ref="G79:G142" si="20">IF(F79="-","",LEFT(F79,6))</f>
        <v/>
      </c>
      <c r="H79" s="114" t="str">
        <f t="shared" si="12"/>
        <v/>
      </c>
      <c r="J79" s="113" t="str">
        <f t="shared" si="17"/>
        <v>-</v>
      </c>
      <c r="K79" s="113">
        <f t="shared" si="18"/>
        <v>0</v>
      </c>
      <c r="L79" s="114" t="str">
        <f t="shared" si="19"/>
        <v/>
      </c>
      <c r="V79" s="117" t="str">
        <f t="shared" si="15"/>
        <v xml:space="preserve">   </v>
      </c>
    </row>
    <row r="80" spans="5:22">
      <c r="E80" s="118" t="s">
        <v>64</v>
      </c>
      <c r="F80" s="113" t="str">
        <f t="shared" si="16"/>
        <v>-</v>
      </c>
      <c r="G80" s="114" t="str">
        <f t="shared" si="20"/>
        <v/>
      </c>
      <c r="H80" s="114" t="str">
        <f t="shared" si="12"/>
        <v/>
      </c>
      <c r="J80" s="113" t="str">
        <f t="shared" si="17"/>
        <v>-</v>
      </c>
      <c r="K80" s="113">
        <f t="shared" si="18"/>
        <v>0</v>
      </c>
      <c r="L80" s="114" t="str">
        <f t="shared" si="19"/>
        <v/>
      </c>
      <c r="V80" s="117" t="str">
        <f t="shared" si="15"/>
        <v xml:space="preserve">   </v>
      </c>
    </row>
    <row r="81" spans="5:22">
      <c r="E81" s="118" t="s">
        <v>64</v>
      </c>
      <c r="F81" s="113" t="str">
        <f t="shared" si="16"/>
        <v>-</v>
      </c>
      <c r="G81" s="114" t="str">
        <f t="shared" si="20"/>
        <v/>
      </c>
      <c r="H81" s="114" t="str">
        <f t="shared" si="12"/>
        <v/>
      </c>
      <c r="J81" s="113" t="str">
        <f t="shared" si="17"/>
        <v>-</v>
      </c>
      <c r="K81" s="113">
        <f t="shared" si="18"/>
        <v>0</v>
      </c>
      <c r="L81" s="114" t="str">
        <f t="shared" si="19"/>
        <v/>
      </c>
      <c r="V81" s="117" t="str">
        <f t="shared" si="15"/>
        <v xml:space="preserve">   </v>
      </c>
    </row>
    <row r="82" spans="5:22">
      <c r="E82" s="118" t="s">
        <v>64</v>
      </c>
      <c r="F82" s="113" t="str">
        <f t="shared" si="16"/>
        <v>-</v>
      </c>
      <c r="G82" s="114" t="str">
        <f t="shared" si="20"/>
        <v/>
      </c>
      <c r="H82" s="114" t="str">
        <f t="shared" si="12"/>
        <v/>
      </c>
      <c r="J82" s="113" t="str">
        <f t="shared" si="17"/>
        <v>-</v>
      </c>
      <c r="K82" s="113">
        <f t="shared" si="18"/>
        <v>0</v>
      </c>
      <c r="L82" s="114" t="str">
        <f t="shared" si="19"/>
        <v/>
      </c>
      <c r="V82" s="117" t="str">
        <f t="shared" si="15"/>
        <v xml:space="preserve">   </v>
      </c>
    </row>
    <row r="83" spans="5:22">
      <c r="E83" s="118" t="s">
        <v>64</v>
      </c>
      <c r="F83" s="113" t="str">
        <f t="shared" si="16"/>
        <v>-</v>
      </c>
      <c r="G83" s="114" t="str">
        <f t="shared" si="20"/>
        <v/>
      </c>
      <c r="H83" s="114" t="str">
        <f t="shared" si="12"/>
        <v/>
      </c>
      <c r="J83" s="113" t="str">
        <f t="shared" si="17"/>
        <v>-</v>
      </c>
      <c r="K83" s="113">
        <f t="shared" si="18"/>
        <v>0</v>
      </c>
      <c r="L83" s="114" t="str">
        <f t="shared" si="19"/>
        <v/>
      </c>
      <c r="V83" s="117" t="str">
        <f t="shared" si="15"/>
        <v xml:space="preserve">   </v>
      </c>
    </row>
    <row r="84" spans="5:22">
      <c r="E84" s="118" t="s">
        <v>64</v>
      </c>
      <c r="F84" s="113" t="str">
        <f t="shared" si="16"/>
        <v>-</v>
      </c>
      <c r="G84" s="114" t="str">
        <f t="shared" si="20"/>
        <v/>
      </c>
      <c r="H84" s="114" t="str">
        <f t="shared" si="12"/>
        <v/>
      </c>
      <c r="J84" s="113" t="str">
        <f t="shared" si="17"/>
        <v>-</v>
      </c>
      <c r="K84" s="113">
        <f t="shared" si="18"/>
        <v>0</v>
      </c>
      <c r="L84" s="114" t="str">
        <f t="shared" si="19"/>
        <v/>
      </c>
      <c r="V84" s="117" t="str">
        <f t="shared" si="15"/>
        <v xml:space="preserve">   </v>
      </c>
    </row>
    <row r="85" spans="5:22">
      <c r="E85" s="118" t="s">
        <v>64</v>
      </c>
      <c r="F85" s="113" t="str">
        <f t="shared" si="16"/>
        <v>-</v>
      </c>
      <c r="G85" s="114" t="str">
        <f t="shared" si="20"/>
        <v/>
      </c>
      <c r="H85" s="114" t="str">
        <f t="shared" si="12"/>
        <v/>
      </c>
      <c r="J85" s="113" t="str">
        <f t="shared" si="17"/>
        <v>-</v>
      </c>
      <c r="K85" s="113">
        <f t="shared" si="18"/>
        <v>0</v>
      </c>
      <c r="L85" s="114" t="str">
        <f t="shared" si="19"/>
        <v/>
      </c>
      <c r="V85" s="117" t="str">
        <f t="shared" si="15"/>
        <v xml:space="preserve">   </v>
      </c>
    </row>
    <row r="86" spans="5:22">
      <c r="E86" s="118" t="s">
        <v>64</v>
      </c>
      <c r="F86" s="113" t="str">
        <f t="shared" si="16"/>
        <v>-</v>
      </c>
      <c r="G86" s="114" t="str">
        <f t="shared" si="20"/>
        <v/>
      </c>
      <c r="H86" s="114" t="str">
        <f t="shared" si="12"/>
        <v/>
      </c>
      <c r="J86" s="113" t="str">
        <f t="shared" si="17"/>
        <v>-</v>
      </c>
      <c r="K86" s="113">
        <f t="shared" si="18"/>
        <v>0</v>
      </c>
      <c r="L86" s="114" t="str">
        <f t="shared" si="19"/>
        <v/>
      </c>
      <c r="V86" s="117" t="str">
        <f t="shared" si="15"/>
        <v xml:space="preserve">   </v>
      </c>
    </row>
    <row r="87" spans="5:22">
      <c r="E87" s="118" t="s">
        <v>64</v>
      </c>
      <c r="F87" s="113" t="str">
        <f t="shared" si="16"/>
        <v>-</v>
      </c>
      <c r="G87" s="114" t="str">
        <f t="shared" si="20"/>
        <v/>
      </c>
      <c r="H87" s="114" t="str">
        <f t="shared" si="12"/>
        <v/>
      </c>
      <c r="J87" s="113" t="str">
        <f t="shared" si="17"/>
        <v>-</v>
      </c>
      <c r="K87" s="113">
        <f t="shared" si="18"/>
        <v>0</v>
      </c>
      <c r="L87" s="114" t="str">
        <f t="shared" si="19"/>
        <v/>
      </c>
      <c r="V87" s="117" t="str">
        <f t="shared" si="15"/>
        <v xml:space="preserve">   </v>
      </c>
    </row>
    <row r="88" spans="5:22">
      <c r="E88" s="118" t="s">
        <v>64</v>
      </c>
      <c r="F88" s="113" t="str">
        <f t="shared" si="16"/>
        <v>-</v>
      </c>
      <c r="G88" s="114" t="str">
        <f t="shared" si="20"/>
        <v/>
      </c>
      <c r="H88" s="114" t="str">
        <f t="shared" si="12"/>
        <v/>
      </c>
      <c r="J88" s="113" t="str">
        <f t="shared" si="17"/>
        <v>-</v>
      </c>
      <c r="K88" s="113">
        <f t="shared" si="18"/>
        <v>0</v>
      </c>
      <c r="L88" s="114" t="str">
        <f t="shared" si="19"/>
        <v/>
      </c>
      <c r="V88" s="117" t="str">
        <f t="shared" si="15"/>
        <v xml:space="preserve">   </v>
      </c>
    </row>
    <row r="89" spans="5:22">
      <c r="E89" s="118" t="s">
        <v>64</v>
      </c>
      <c r="F89" s="113" t="str">
        <f t="shared" si="16"/>
        <v>-</v>
      </c>
      <c r="G89" s="114" t="str">
        <f t="shared" si="20"/>
        <v/>
      </c>
      <c r="H89" s="114" t="str">
        <f t="shared" si="12"/>
        <v/>
      </c>
      <c r="J89" s="113" t="str">
        <f t="shared" si="17"/>
        <v>-</v>
      </c>
      <c r="K89" s="113">
        <f t="shared" si="18"/>
        <v>0</v>
      </c>
      <c r="L89" s="114" t="str">
        <f t="shared" si="19"/>
        <v/>
      </c>
      <c r="V89" s="117" t="str">
        <f t="shared" si="15"/>
        <v xml:space="preserve">   </v>
      </c>
    </row>
    <row r="90" spans="5:22">
      <c r="E90" s="118" t="s">
        <v>64</v>
      </c>
      <c r="F90" s="113" t="str">
        <f t="shared" si="16"/>
        <v>-</v>
      </c>
      <c r="G90" s="114" t="str">
        <f t="shared" si="20"/>
        <v/>
      </c>
      <c r="H90" s="114" t="str">
        <f t="shared" si="12"/>
        <v/>
      </c>
      <c r="J90" s="113" t="str">
        <f t="shared" si="17"/>
        <v>-</v>
      </c>
      <c r="K90" s="113">
        <f t="shared" si="18"/>
        <v>0</v>
      </c>
      <c r="L90" s="114" t="str">
        <f t="shared" si="19"/>
        <v/>
      </c>
      <c r="V90" s="117" t="str">
        <f t="shared" si="15"/>
        <v xml:space="preserve">   </v>
      </c>
    </row>
    <row r="91" spans="5:22">
      <c r="E91" s="118" t="s">
        <v>64</v>
      </c>
      <c r="F91" s="113" t="str">
        <f t="shared" si="16"/>
        <v>-</v>
      </c>
      <c r="G91" s="114" t="str">
        <f t="shared" si="20"/>
        <v/>
      </c>
      <c r="H91" s="114" t="str">
        <f t="shared" si="12"/>
        <v/>
      </c>
      <c r="J91" s="113" t="str">
        <f t="shared" si="17"/>
        <v>-</v>
      </c>
      <c r="K91" s="113">
        <f t="shared" si="18"/>
        <v>0</v>
      </c>
      <c r="L91" s="114" t="str">
        <f t="shared" si="19"/>
        <v/>
      </c>
      <c r="V91" s="117" t="str">
        <f t="shared" si="15"/>
        <v xml:space="preserve">   </v>
      </c>
    </row>
    <row r="92" spans="5:22">
      <c r="E92" s="118" t="s">
        <v>64</v>
      </c>
      <c r="F92" s="113" t="str">
        <f t="shared" si="16"/>
        <v>-</v>
      </c>
      <c r="G92" s="114" t="str">
        <f t="shared" si="20"/>
        <v/>
      </c>
      <c r="H92" s="114" t="str">
        <f t="shared" si="12"/>
        <v/>
      </c>
      <c r="J92" s="113" t="str">
        <f t="shared" si="17"/>
        <v>-</v>
      </c>
      <c r="K92" s="113">
        <f t="shared" si="18"/>
        <v>0</v>
      </c>
      <c r="L92" s="114" t="str">
        <f t="shared" si="19"/>
        <v/>
      </c>
      <c r="V92" s="117" t="str">
        <f t="shared" si="15"/>
        <v xml:space="preserve">   </v>
      </c>
    </row>
    <row r="93" spans="5:22">
      <c r="E93" s="118" t="s">
        <v>64</v>
      </c>
      <c r="F93" s="113" t="str">
        <f t="shared" si="16"/>
        <v>-</v>
      </c>
      <c r="G93" s="114" t="str">
        <f t="shared" si="20"/>
        <v/>
      </c>
      <c r="H93" s="114" t="str">
        <f t="shared" si="12"/>
        <v/>
      </c>
      <c r="J93" s="113" t="str">
        <f t="shared" si="17"/>
        <v>-</v>
      </c>
      <c r="K93" s="113">
        <f t="shared" si="18"/>
        <v>0</v>
      </c>
      <c r="L93" s="114" t="str">
        <f t="shared" si="19"/>
        <v/>
      </c>
      <c r="V93" s="117" t="str">
        <f t="shared" si="15"/>
        <v xml:space="preserve">   </v>
      </c>
    </row>
    <row r="94" spans="5:22">
      <c r="E94" s="118" t="s">
        <v>64</v>
      </c>
      <c r="F94" s="113" t="str">
        <f t="shared" si="16"/>
        <v>-</v>
      </c>
      <c r="G94" s="114" t="str">
        <f t="shared" si="20"/>
        <v/>
      </c>
      <c r="H94" s="114" t="str">
        <f t="shared" ref="H94:H157" si="21">MID(F94,8,50)</f>
        <v/>
      </c>
      <c r="J94" s="113" t="str">
        <f t="shared" si="17"/>
        <v>-</v>
      </c>
      <c r="K94" s="113">
        <f t="shared" si="18"/>
        <v>0</v>
      </c>
      <c r="L94" s="114" t="str">
        <f t="shared" si="19"/>
        <v/>
      </c>
      <c r="V94" s="117" t="str">
        <f t="shared" si="15"/>
        <v xml:space="preserve">   </v>
      </c>
    </row>
    <row r="95" spans="5:22">
      <c r="E95" s="118" t="s">
        <v>64</v>
      </c>
      <c r="F95" s="113" t="str">
        <f t="shared" si="16"/>
        <v>-</v>
      </c>
      <c r="G95" s="114" t="str">
        <f t="shared" si="20"/>
        <v/>
      </c>
      <c r="H95" s="114" t="str">
        <f t="shared" si="21"/>
        <v/>
      </c>
      <c r="J95" s="113" t="str">
        <f t="shared" si="17"/>
        <v>-</v>
      </c>
      <c r="K95" s="113">
        <f t="shared" si="18"/>
        <v>0</v>
      </c>
      <c r="L95" s="114" t="str">
        <f t="shared" si="19"/>
        <v/>
      </c>
      <c r="V95" s="117" t="str">
        <f t="shared" si="15"/>
        <v xml:space="preserve">   </v>
      </c>
    </row>
    <row r="96" spans="5:22">
      <c r="E96" s="118" t="s">
        <v>64</v>
      </c>
      <c r="F96" s="113" t="str">
        <f t="shared" si="16"/>
        <v>-</v>
      </c>
      <c r="G96" s="114" t="str">
        <f t="shared" si="20"/>
        <v/>
      </c>
      <c r="H96" s="114" t="str">
        <f t="shared" si="21"/>
        <v/>
      </c>
      <c r="J96" s="113" t="str">
        <f t="shared" si="17"/>
        <v>-</v>
      </c>
      <c r="K96" s="113">
        <f t="shared" si="18"/>
        <v>0</v>
      </c>
      <c r="L96" s="114" t="str">
        <f t="shared" si="19"/>
        <v/>
      </c>
      <c r="V96" s="117" t="str">
        <f t="shared" si="15"/>
        <v xml:space="preserve">   </v>
      </c>
    </row>
    <row r="97" spans="5:22">
      <c r="E97" s="118" t="s">
        <v>64</v>
      </c>
      <c r="F97" s="113" t="str">
        <f t="shared" si="16"/>
        <v>-</v>
      </c>
      <c r="G97" s="114" t="str">
        <f t="shared" si="20"/>
        <v/>
      </c>
      <c r="H97" s="114" t="str">
        <f t="shared" si="21"/>
        <v/>
      </c>
      <c r="J97" s="113" t="str">
        <f t="shared" si="17"/>
        <v>-</v>
      </c>
      <c r="K97" s="113">
        <f t="shared" si="18"/>
        <v>0</v>
      </c>
      <c r="L97" s="114" t="str">
        <f t="shared" si="19"/>
        <v/>
      </c>
      <c r="V97" s="117" t="str">
        <f t="shared" si="15"/>
        <v xml:space="preserve">   </v>
      </c>
    </row>
    <row r="98" spans="5:22">
      <c r="E98" s="118" t="s">
        <v>64</v>
      </c>
      <c r="F98" s="113" t="str">
        <f t="shared" si="16"/>
        <v>-</v>
      </c>
      <c r="G98" s="114" t="str">
        <f t="shared" si="20"/>
        <v/>
      </c>
      <c r="H98" s="114" t="str">
        <f t="shared" si="21"/>
        <v/>
      </c>
      <c r="J98" s="113" t="str">
        <f t="shared" si="17"/>
        <v>-</v>
      </c>
      <c r="K98" s="113">
        <f t="shared" si="18"/>
        <v>0</v>
      </c>
      <c r="L98" s="114" t="str">
        <f t="shared" si="19"/>
        <v/>
      </c>
      <c r="V98" s="117" t="str">
        <f t="shared" si="15"/>
        <v xml:space="preserve">   </v>
      </c>
    </row>
    <row r="99" spans="5:22">
      <c r="E99" s="118" t="s">
        <v>64</v>
      </c>
      <c r="F99" s="113" t="str">
        <f t="shared" si="16"/>
        <v>-</v>
      </c>
      <c r="G99" s="114" t="str">
        <f t="shared" si="20"/>
        <v/>
      </c>
      <c r="H99" s="114" t="str">
        <f t="shared" si="21"/>
        <v/>
      </c>
      <c r="J99" s="113" t="str">
        <f t="shared" si="17"/>
        <v>-</v>
      </c>
      <c r="K99" s="113">
        <f t="shared" si="18"/>
        <v>0</v>
      </c>
      <c r="L99" s="114" t="str">
        <f t="shared" si="19"/>
        <v/>
      </c>
      <c r="V99" s="117" t="str">
        <f t="shared" si="15"/>
        <v xml:space="preserve">   </v>
      </c>
    </row>
    <row r="100" spans="5:22">
      <c r="E100" s="118" t="s">
        <v>64</v>
      </c>
      <c r="F100" s="113" t="str">
        <f t="shared" si="16"/>
        <v>-</v>
      </c>
      <c r="G100" s="114" t="str">
        <f t="shared" si="20"/>
        <v/>
      </c>
      <c r="H100" s="114" t="str">
        <f t="shared" si="21"/>
        <v/>
      </c>
      <c r="J100" s="113" t="str">
        <f t="shared" si="17"/>
        <v>-</v>
      </c>
      <c r="K100" s="113">
        <f t="shared" si="18"/>
        <v>0</v>
      </c>
      <c r="L100" s="114" t="str">
        <f t="shared" si="19"/>
        <v/>
      </c>
      <c r="V100" s="117" t="str">
        <f t="shared" si="15"/>
        <v xml:space="preserve">   </v>
      </c>
    </row>
    <row r="101" spans="5:22">
      <c r="E101" s="118" t="s">
        <v>64</v>
      </c>
      <c r="F101" s="113" t="str">
        <f t="shared" si="16"/>
        <v>-</v>
      </c>
      <c r="G101" s="114" t="str">
        <f t="shared" si="20"/>
        <v/>
      </c>
      <c r="H101" s="114" t="str">
        <f t="shared" si="21"/>
        <v/>
      </c>
      <c r="J101" s="113" t="str">
        <f t="shared" si="17"/>
        <v>-</v>
      </c>
      <c r="K101" s="113">
        <f t="shared" si="18"/>
        <v>0</v>
      </c>
      <c r="L101" s="114" t="str">
        <f t="shared" si="19"/>
        <v/>
      </c>
      <c r="V101" s="117" t="str">
        <f t="shared" si="15"/>
        <v xml:space="preserve">   </v>
      </c>
    </row>
    <row r="102" spans="5:22">
      <c r="E102" s="118" t="s">
        <v>64</v>
      </c>
      <c r="F102" s="113" t="str">
        <f t="shared" si="16"/>
        <v>-</v>
      </c>
      <c r="G102" s="114" t="str">
        <f t="shared" si="20"/>
        <v/>
      </c>
      <c r="H102" s="114" t="str">
        <f t="shared" si="21"/>
        <v/>
      </c>
      <c r="J102" s="113" t="str">
        <f t="shared" si="17"/>
        <v>-</v>
      </c>
      <c r="K102" s="113">
        <f t="shared" si="18"/>
        <v>0</v>
      </c>
      <c r="L102" s="114" t="str">
        <f t="shared" si="19"/>
        <v/>
      </c>
      <c r="V102" s="117" t="str">
        <f t="shared" si="15"/>
        <v xml:space="preserve">   </v>
      </c>
    </row>
    <row r="103" spans="5:22">
      <c r="E103" s="118" t="s">
        <v>64</v>
      </c>
      <c r="F103" s="113" t="str">
        <f t="shared" si="16"/>
        <v>-</v>
      </c>
      <c r="G103" s="114" t="str">
        <f t="shared" si="20"/>
        <v/>
      </c>
      <c r="H103" s="114" t="str">
        <f t="shared" si="21"/>
        <v/>
      </c>
      <c r="J103" s="113" t="str">
        <f t="shared" si="17"/>
        <v>-</v>
      </c>
      <c r="K103" s="113">
        <f t="shared" si="18"/>
        <v>0</v>
      </c>
      <c r="L103" s="114" t="str">
        <f t="shared" si="19"/>
        <v/>
      </c>
      <c r="V103" s="117" t="str">
        <f t="shared" si="15"/>
        <v xml:space="preserve">   </v>
      </c>
    </row>
    <row r="104" spans="5:22">
      <c r="E104" s="118" t="s">
        <v>64</v>
      </c>
      <c r="F104" s="113" t="str">
        <f t="shared" si="16"/>
        <v>-</v>
      </c>
      <c r="G104" s="114" t="str">
        <f t="shared" si="20"/>
        <v/>
      </c>
      <c r="H104" s="114" t="str">
        <f t="shared" si="21"/>
        <v/>
      </c>
      <c r="J104" s="113" t="str">
        <f t="shared" si="17"/>
        <v>-</v>
      </c>
      <c r="K104" s="113">
        <f t="shared" si="18"/>
        <v>0</v>
      </c>
      <c r="L104" s="114" t="str">
        <f t="shared" si="19"/>
        <v/>
      </c>
      <c r="V104" s="117" t="str">
        <f t="shared" si="15"/>
        <v xml:space="preserve">   </v>
      </c>
    </row>
    <row r="105" spans="5:22">
      <c r="E105" s="118" t="s">
        <v>64</v>
      </c>
      <c r="F105" s="113" t="str">
        <f t="shared" si="16"/>
        <v>-</v>
      </c>
      <c r="G105" s="114" t="str">
        <f t="shared" si="20"/>
        <v/>
      </c>
      <c r="H105" s="114" t="str">
        <f t="shared" si="21"/>
        <v/>
      </c>
      <c r="J105" s="113" t="str">
        <f t="shared" si="17"/>
        <v>-</v>
      </c>
      <c r="K105" s="113">
        <f t="shared" si="18"/>
        <v>0</v>
      </c>
      <c r="L105" s="114" t="str">
        <f t="shared" si="19"/>
        <v/>
      </c>
      <c r="V105" s="117" t="str">
        <f t="shared" si="15"/>
        <v xml:space="preserve">   </v>
      </c>
    </row>
    <row r="106" spans="5:22">
      <c r="E106" s="118" t="s">
        <v>64</v>
      </c>
      <c r="F106" s="113" t="str">
        <f t="shared" si="16"/>
        <v>-</v>
      </c>
      <c r="G106" s="114" t="str">
        <f t="shared" si="20"/>
        <v/>
      </c>
      <c r="H106" s="114" t="str">
        <f t="shared" si="21"/>
        <v/>
      </c>
      <c r="J106" s="113" t="str">
        <f t="shared" si="17"/>
        <v>-</v>
      </c>
      <c r="K106" s="113">
        <f t="shared" si="18"/>
        <v>0</v>
      </c>
      <c r="L106" s="114" t="str">
        <f t="shared" si="19"/>
        <v/>
      </c>
      <c r="V106" s="117" t="str">
        <f t="shared" si="15"/>
        <v xml:space="preserve">   </v>
      </c>
    </row>
    <row r="107" spans="5:22">
      <c r="E107" s="118" t="s">
        <v>64</v>
      </c>
      <c r="F107" s="113" t="str">
        <f t="shared" si="16"/>
        <v>-</v>
      </c>
      <c r="G107" s="114" t="str">
        <f t="shared" si="20"/>
        <v/>
      </c>
      <c r="H107" s="114" t="str">
        <f t="shared" si="21"/>
        <v/>
      </c>
      <c r="J107" s="113" t="str">
        <f t="shared" si="17"/>
        <v>-</v>
      </c>
      <c r="K107" s="113">
        <f t="shared" si="18"/>
        <v>0</v>
      </c>
      <c r="L107" s="114" t="str">
        <f t="shared" si="19"/>
        <v/>
      </c>
      <c r="V107" s="117" t="str">
        <f t="shared" si="15"/>
        <v xml:space="preserve">   </v>
      </c>
    </row>
    <row r="108" spans="5:22">
      <c r="E108" s="118" t="s">
        <v>64</v>
      </c>
      <c r="F108" s="113" t="str">
        <f t="shared" si="16"/>
        <v>-</v>
      </c>
      <c r="G108" s="114" t="str">
        <f t="shared" si="20"/>
        <v/>
      </c>
      <c r="H108" s="114" t="str">
        <f t="shared" si="21"/>
        <v/>
      </c>
      <c r="J108" s="113" t="str">
        <f t="shared" si="17"/>
        <v>-</v>
      </c>
      <c r="K108" s="113">
        <f t="shared" si="18"/>
        <v>0</v>
      </c>
      <c r="L108" s="114" t="str">
        <f t="shared" si="19"/>
        <v/>
      </c>
      <c r="V108" s="117" t="str">
        <f t="shared" si="15"/>
        <v xml:space="preserve">   </v>
      </c>
    </row>
    <row r="109" spans="5:22">
      <c r="E109" s="118" t="s">
        <v>64</v>
      </c>
      <c r="F109" s="113" t="str">
        <f t="shared" si="16"/>
        <v>-</v>
      </c>
      <c r="G109" s="114" t="str">
        <f t="shared" si="20"/>
        <v/>
      </c>
      <c r="H109" s="114" t="str">
        <f t="shared" si="21"/>
        <v/>
      </c>
      <c r="J109" s="113" t="str">
        <f t="shared" si="17"/>
        <v>-</v>
      </c>
      <c r="K109" s="113">
        <f t="shared" si="18"/>
        <v>0</v>
      </c>
      <c r="L109" s="114" t="str">
        <f t="shared" si="19"/>
        <v/>
      </c>
      <c r="V109" s="117" t="str">
        <f t="shared" si="15"/>
        <v xml:space="preserve">   </v>
      </c>
    </row>
    <row r="110" spans="5:22">
      <c r="E110" s="118" t="s">
        <v>64</v>
      </c>
      <c r="F110" s="113" t="str">
        <f t="shared" ref="F110:F141" si="22">IFERROR(INDEX(A110,MATCH(E110&amp;"*",A110,)),"-")</f>
        <v>-</v>
      </c>
      <c r="G110" s="114" t="str">
        <f t="shared" si="20"/>
        <v/>
      </c>
      <c r="H110" s="114" t="str">
        <f t="shared" si="21"/>
        <v/>
      </c>
      <c r="J110" s="113" t="str">
        <f t="shared" si="17"/>
        <v>-</v>
      </c>
      <c r="K110" s="113">
        <f t="shared" si="18"/>
        <v>0</v>
      </c>
      <c r="L110" s="114" t="str">
        <f t="shared" ref="L110:L141" si="23">IF(F110="-","",B110)</f>
        <v/>
      </c>
      <c r="V110" s="117" t="str">
        <f t="shared" si="15"/>
        <v xml:space="preserve">   </v>
      </c>
    </row>
    <row r="111" spans="5:22">
      <c r="E111" s="118" t="s">
        <v>64</v>
      </c>
      <c r="F111" s="113" t="str">
        <f t="shared" si="22"/>
        <v>-</v>
      </c>
      <c r="G111" s="114" t="str">
        <f t="shared" si="20"/>
        <v/>
      </c>
      <c r="H111" s="114" t="str">
        <f t="shared" si="21"/>
        <v/>
      </c>
      <c r="J111" s="113" t="str">
        <f t="shared" si="17"/>
        <v>-</v>
      </c>
      <c r="K111" s="113">
        <f t="shared" si="18"/>
        <v>0</v>
      </c>
      <c r="L111" s="114" t="str">
        <f t="shared" si="23"/>
        <v/>
      </c>
      <c r="V111" s="117" t="str">
        <f t="shared" si="15"/>
        <v xml:space="preserve">   </v>
      </c>
    </row>
    <row r="112" spans="5:22">
      <c r="E112" s="118" t="s">
        <v>64</v>
      </c>
      <c r="F112" s="113" t="str">
        <f t="shared" si="22"/>
        <v>-</v>
      </c>
      <c r="G112" s="114" t="str">
        <f t="shared" si="20"/>
        <v/>
      </c>
      <c r="H112" s="114" t="str">
        <f t="shared" si="21"/>
        <v/>
      </c>
      <c r="J112" s="113" t="str">
        <f t="shared" si="17"/>
        <v>-</v>
      </c>
      <c r="K112" s="113">
        <f t="shared" si="18"/>
        <v>0</v>
      </c>
      <c r="L112" s="114" t="str">
        <f t="shared" si="23"/>
        <v/>
      </c>
      <c r="V112" s="117" t="str">
        <f t="shared" si="15"/>
        <v xml:space="preserve">   </v>
      </c>
    </row>
    <row r="113" spans="5:22">
      <c r="E113" s="118" t="s">
        <v>64</v>
      </c>
      <c r="F113" s="113" t="str">
        <f t="shared" si="22"/>
        <v>-</v>
      </c>
      <c r="G113" s="114" t="str">
        <f t="shared" si="20"/>
        <v/>
      </c>
      <c r="H113" s="114" t="str">
        <f t="shared" si="21"/>
        <v/>
      </c>
      <c r="J113" s="113" t="str">
        <f t="shared" si="17"/>
        <v>-</v>
      </c>
      <c r="K113" s="113">
        <f t="shared" si="18"/>
        <v>0</v>
      </c>
      <c r="L113" s="114" t="str">
        <f t="shared" si="23"/>
        <v/>
      </c>
      <c r="V113" s="117" t="str">
        <f t="shared" si="15"/>
        <v xml:space="preserve">   </v>
      </c>
    </row>
    <row r="114" spans="5:22">
      <c r="E114" s="118" t="s">
        <v>64</v>
      </c>
      <c r="F114" s="113" t="str">
        <f t="shared" si="22"/>
        <v>-</v>
      </c>
      <c r="G114" s="114" t="str">
        <f t="shared" si="20"/>
        <v/>
      </c>
      <c r="H114" s="114" t="str">
        <f t="shared" si="21"/>
        <v/>
      </c>
      <c r="J114" s="113" t="str">
        <f t="shared" si="17"/>
        <v>-</v>
      </c>
      <c r="K114" s="113">
        <f t="shared" si="18"/>
        <v>0</v>
      </c>
      <c r="L114" s="114" t="str">
        <f t="shared" si="23"/>
        <v/>
      </c>
      <c r="V114" s="117" t="str">
        <f t="shared" si="15"/>
        <v xml:space="preserve">   </v>
      </c>
    </row>
    <row r="115" spans="5:22">
      <c r="E115" s="118" t="s">
        <v>64</v>
      </c>
      <c r="F115" s="113" t="str">
        <f t="shared" si="22"/>
        <v>-</v>
      </c>
      <c r="G115" s="114" t="str">
        <f t="shared" si="20"/>
        <v/>
      </c>
      <c r="H115" s="114" t="str">
        <f t="shared" si="21"/>
        <v/>
      </c>
      <c r="J115" s="113" t="str">
        <f t="shared" si="17"/>
        <v>-</v>
      </c>
      <c r="K115" s="113">
        <f t="shared" si="18"/>
        <v>0</v>
      </c>
      <c r="L115" s="114" t="str">
        <f t="shared" si="23"/>
        <v/>
      </c>
      <c r="V115" s="117" t="str">
        <f t="shared" si="15"/>
        <v xml:space="preserve">   </v>
      </c>
    </row>
    <row r="116" spans="5:22">
      <c r="E116" s="118" t="s">
        <v>64</v>
      </c>
      <c r="F116" s="113" t="str">
        <f t="shared" si="22"/>
        <v>-</v>
      </c>
      <c r="G116" s="114" t="str">
        <f t="shared" si="20"/>
        <v/>
      </c>
      <c r="H116" s="114" t="str">
        <f t="shared" si="21"/>
        <v/>
      </c>
      <c r="J116" s="113" t="str">
        <f t="shared" si="17"/>
        <v>-</v>
      </c>
      <c r="K116" s="113">
        <f t="shared" si="18"/>
        <v>0</v>
      </c>
      <c r="L116" s="114" t="str">
        <f t="shared" si="23"/>
        <v/>
      </c>
      <c r="V116" s="117" t="str">
        <f t="shared" si="15"/>
        <v xml:space="preserve">   </v>
      </c>
    </row>
    <row r="117" spans="5:22">
      <c r="E117" s="118" t="s">
        <v>64</v>
      </c>
      <c r="F117" s="113" t="str">
        <f t="shared" si="22"/>
        <v>-</v>
      </c>
      <c r="G117" s="114" t="str">
        <f t="shared" si="20"/>
        <v/>
      </c>
      <c r="H117" s="114" t="str">
        <f t="shared" si="21"/>
        <v/>
      </c>
      <c r="J117" s="113" t="str">
        <f t="shared" si="17"/>
        <v>-</v>
      </c>
      <c r="K117" s="113">
        <f t="shared" si="18"/>
        <v>0</v>
      </c>
      <c r="L117" s="114" t="str">
        <f t="shared" si="23"/>
        <v/>
      </c>
      <c r="V117" s="117" t="str">
        <f t="shared" si="15"/>
        <v xml:space="preserve">   </v>
      </c>
    </row>
    <row r="118" spans="5:22">
      <c r="E118" s="118" t="s">
        <v>64</v>
      </c>
      <c r="F118" s="113" t="str">
        <f t="shared" si="22"/>
        <v>-</v>
      </c>
      <c r="G118" s="114" t="str">
        <f t="shared" si="20"/>
        <v/>
      </c>
      <c r="H118" s="114" t="str">
        <f t="shared" si="21"/>
        <v/>
      </c>
      <c r="J118" s="113" t="str">
        <f t="shared" si="17"/>
        <v>-</v>
      </c>
      <c r="K118" s="113">
        <f t="shared" si="18"/>
        <v>0</v>
      </c>
      <c r="L118" s="114" t="str">
        <f t="shared" si="23"/>
        <v/>
      </c>
      <c r="V118" s="117" t="str">
        <f t="shared" si="15"/>
        <v xml:space="preserve">   </v>
      </c>
    </row>
    <row r="119" spans="5:22">
      <c r="E119" s="118" t="s">
        <v>64</v>
      </c>
      <c r="F119" s="113" t="str">
        <f t="shared" si="22"/>
        <v>-</v>
      </c>
      <c r="G119" s="114" t="str">
        <f t="shared" si="20"/>
        <v/>
      </c>
      <c r="H119" s="114" t="str">
        <f t="shared" si="21"/>
        <v/>
      </c>
      <c r="J119" s="113" t="str">
        <f t="shared" si="17"/>
        <v>-</v>
      </c>
      <c r="K119" s="113">
        <f t="shared" si="18"/>
        <v>0</v>
      </c>
      <c r="L119" s="114" t="str">
        <f t="shared" si="23"/>
        <v/>
      </c>
      <c r="V119" s="117" t="str">
        <f t="shared" si="15"/>
        <v xml:space="preserve">   </v>
      </c>
    </row>
    <row r="120" spans="5:22">
      <c r="E120" s="118" t="s">
        <v>64</v>
      </c>
      <c r="F120" s="113" t="str">
        <f t="shared" si="22"/>
        <v>-</v>
      </c>
      <c r="G120" s="114" t="str">
        <f t="shared" si="20"/>
        <v/>
      </c>
      <c r="H120" s="114" t="str">
        <f t="shared" si="21"/>
        <v/>
      </c>
      <c r="J120" s="113" t="str">
        <f t="shared" si="17"/>
        <v>-</v>
      </c>
      <c r="K120" s="113">
        <f t="shared" si="18"/>
        <v>0</v>
      </c>
      <c r="L120" s="114" t="str">
        <f t="shared" si="23"/>
        <v/>
      </c>
      <c r="V120" s="117" t="str">
        <f t="shared" si="15"/>
        <v xml:space="preserve">   </v>
      </c>
    </row>
    <row r="121" spans="5:22">
      <c r="E121" s="118" t="s">
        <v>64</v>
      </c>
      <c r="F121" s="113" t="str">
        <f t="shared" si="22"/>
        <v>-</v>
      </c>
      <c r="G121" s="114" t="str">
        <f t="shared" si="20"/>
        <v/>
      </c>
      <c r="H121" s="114" t="str">
        <f t="shared" si="21"/>
        <v/>
      </c>
      <c r="J121" s="113" t="str">
        <f t="shared" si="17"/>
        <v>-</v>
      </c>
      <c r="K121" s="113">
        <f t="shared" si="18"/>
        <v>0</v>
      </c>
      <c r="L121" s="114" t="str">
        <f t="shared" si="23"/>
        <v/>
      </c>
      <c r="V121" s="117" t="str">
        <f t="shared" si="15"/>
        <v xml:space="preserve">   </v>
      </c>
    </row>
    <row r="122" spans="5:22">
      <c r="E122" s="118" t="s">
        <v>64</v>
      </c>
      <c r="F122" s="113" t="str">
        <f t="shared" si="22"/>
        <v>-</v>
      </c>
      <c r="G122" s="114" t="str">
        <f t="shared" si="20"/>
        <v/>
      </c>
      <c r="H122" s="114" t="str">
        <f t="shared" si="21"/>
        <v/>
      </c>
      <c r="J122" s="113" t="str">
        <f t="shared" si="17"/>
        <v>-</v>
      </c>
      <c r="K122" s="113">
        <f t="shared" si="18"/>
        <v>0</v>
      </c>
      <c r="L122" s="114" t="str">
        <f t="shared" si="23"/>
        <v/>
      </c>
      <c r="V122" s="117" t="str">
        <f t="shared" si="15"/>
        <v xml:space="preserve">   </v>
      </c>
    </row>
    <row r="123" spans="5:22">
      <c r="E123" s="118" t="s">
        <v>64</v>
      </c>
      <c r="F123" s="113" t="str">
        <f t="shared" si="22"/>
        <v>-</v>
      </c>
      <c r="G123" s="114" t="str">
        <f t="shared" si="20"/>
        <v/>
      </c>
      <c r="H123" s="114" t="str">
        <f t="shared" si="21"/>
        <v/>
      </c>
      <c r="J123" s="113" t="str">
        <f t="shared" si="17"/>
        <v>-</v>
      </c>
      <c r="K123" s="113">
        <f t="shared" si="18"/>
        <v>0</v>
      </c>
      <c r="L123" s="114" t="str">
        <f t="shared" si="23"/>
        <v/>
      </c>
      <c r="V123" s="117" t="str">
        <f t="shared" si="15"/>
        <v xml:space="preserve">   </v>
      </c>
    </row>
    <row r="124" spans="5:22">
      <c r="E124" s="118" t="s">
        <v>64</v>
      </c>
      <c r="F124" s="113" t="str">
        <f t="shared" si="22"/>
        <v>-</v>
      </c>
      <c r="G124" s="114" t="str">
        <f t="shared" si="20"/>
        <v/>
      </c>
      <c r="H124" s="114" t="str">
        <f t="shared" si="21"/>
        <v/>
      </c>
      <c r="J124" s="113" t="str">
        <f t="shared" si="17"/>
        <v>-</v>
      </c>
      <c r="K124" s="113">
        <f t="shared" si="18"/>
        <v>0</v>
      </c>
      <c r="L124" s="114" t="str">
        <f t="shared" si="23"/>
        <v/>
      </c>
      <c r="V124" s="117" t="str">
        <f t="shared" si="15"/>
        <v xml:space="preserve">   </v>
      </c>
    </row>
    <row r="125" spans="5:22">
      <c r="E125" s="118" t="s">
        <v>64</v>
      </c>
      <c r="F125" s="113" t="str">
        <f t="shared" si="22"/>
        <v>-</v>
      </c>
      <c r="G125" s="114" t="str">
        <f t="shared" si="20"/>
        <v/>
      </c>
      <c r="H125" s="114" t="str">
        <f t="shared" si="21"/>
        <v/>
      </c>
      <c r="J125" s="113" t="str">
        <f t="shared" si="17"/>
        <v>-</v>
      </c>
      <c r="K125" s="113">
        <f t="shared" si="18"/>
        <v>0</v>
      </c>
      <c r="L125" s="114" t="str">
        <f t="shared" si="23"/>
        <v/>
      </c>
      <c r="V125" s="117" t="str">
        <f t="shared" si="15"/>
        <v xml:space="preserve">   </v>
      </c>
    </row>
    <row r="126" spans="5:22">
      <c r="E126" s="118" t="s">
        <v>64</v>
      </c>
      <c r="F126" s="113" t="str">
        <f t="shared" si="22"/>
        <v>-</v>
      </c>
      <c r="G126" s="114" t="str">
        <f t="shared" si="20"/>
        <v/>
      </c>
      <c r="H126" s="114" t="str">
        <f t="shared" si="21"/>
        <v/>
      </c>
      <c r="J126" s="113" t="str">
        <f t="shared" si="17"/>
        <v>-</v>
      </c>
      <c r="K126" s="113">
        <f t="shared" si="18"/>
        <v>0</v>
      </c>
      <c r="L126" s="114" t="str">
        <f t="shared" si="23"/>
        <v/>
      </c>
      <c r="V126" s="117" t="str">
        <f t="shared" si="15"/>
        <v xml:space="preserve">   </v>
      </c>
    </row>
    <row r="127" spans="5:22">
      <c r="E127" s="118" t="s">
        <v>64</v>
      </c>
      <c r="F127" s="113" t="str">
        <f t="shared" si="22"/>
        <v>-</v>
      </c>
      <c r="G127" s="114" t="str">
        <f t="shared" si="20"/>
        <v/>
      </c>
      <c r="H127" s="114" t="str">
        <f t="shared" si="21"/>
        <v/>
      </c>
      <c r="J127" s="113" t="str">
        <f t="shared" si="17"/>
        <v>-</v>
      </c>
      <c r="K127" s="113">
        <f t="shared" si="18"/>
        <v>0</v>
      </c>
      <c r="L127" s="114" t="str">
        <f t="shared" si="23"/>
        <v/>
      </c>
      <c r="V127" s="117" t="str">
        <f t="shared" si="15"/>
        <v xml:space="preserve">   </v>
      </c>
    </row>
    <row r="128" spans="5:22">
      <c r="E128" s="118" t="s">
        <v>64</v>
      </c>
      <c r="F128" s="113" t="str">
        <f t="shared" si="22"/>
        <v>-</v>
      </c>
      <c r="G128" s="114" t="str">
        <f t="shared" si="20"/>
        <v/>
      </c>
      <c r="H128" s="114" t="str">
        <f t="shared" si="21"/>
        <v/>
      </c>
      <c r="J128" s="113" t="str">
        <f t="shared" si="17"/>
        <v>-</v>
      </c>
      <c r="K128" s="113">
        <f t="shared" si="18"/>
        <v>0</v>
      </c>
      <c r="L128" s="114" t="str">
        <f t="shared" si="23"/>
        <v/>
      </c>
      <c r="V128" s="117" t="str">
        <f t="shared" si="15"/>
        <v xml:space="preserve">   </v>
      </c>
    </row>
    <row r="129" spans="5:22">
      <c r="E129" s="118" t="s">
        <v>64</v>
      </c>
      <c r="F129" s="113" t="str">
        <f t="shared" si="22"/>
        <v>-</v>
      </c>
      <c r="G129" s="114" t="str">
        <f t="shared" si="20"/>
        <v/>
      </c>
      <c r="H129" s="114" t="str">
        <f t="shared" si="21"/>
        <v/>
      </c>
      <c r="J129" s="113" t="str">
        <f t="shared" si="17"/>
        <v>-</v>
      </c>
      <c r="K129" s="113">
        <f t="shared" si="18"/>
        <v>0</v>
      </c>
      <c r="L129" s="114" t="str">
        <f t="shared" si="23"/>
        <v/>
      </c>
      <c r="V129" s="117" t="str">
        <f t="shared" si="15"/>
        <v xml:space="preserve">   </v>
      </c>
    </row>
    <row r="130" spans="5:22">
      <c r="E130" s="118" t="s">
        <v>64</v>
      </c>
      <c r="F130" s="113" t="str">
        <f t="shared" si="22"/>
        <v>-</v>
      </c>
      <c r="G130" s="114" t="str">
        <f t="shared" si="20"/>
        <v/>
      </c>
      <c r="H130" s="114" t="str">
        <f t="shared" si="21"/>
        <v/>
      </c>
      <c r="J130" s="113" t="str">
        <f t="shared" si="17"/>
        <v>-</v>
      </c>
      <c r="K130" s="113">
        <f t="shared" si="18"/>
        <v>0</v>
      </c>
      <c r="L130" s="114" t="str">
        <f t="shared" si="23"/>
        <v/>
      </c>
      <c r="V130" s="117" t="str">
        <f t="shared" si="15"/>
        <v xml:space="preserve">   </v>
      </c>
    </row>
    <row r="131" spans="5:22">
      <c r="E131" s="118" t="s">
        <v>64</v>
      </c>
      <c r="F131" s="113" t="str">
        <f t="shared" si="22"/>
        <v>-</v>
      </c>
      <c r="G131" s="114" t="str">
        <f t="shared" si="20"/>
        <v/>
      </c>
      <c r="H131" s="114" t="str">
        <f t="shared" si="21"/>
        <v/>
      </c>
      <c r="J131" s="113" t="str">
        <f t="shared" si="17"/>
        <v>-</v>
      </c>
      <c r="K131" s="113">
        <f t="shared" si="18"/>
        <v>0</v>
      </c>
      <c r="L131" s="114" t="str">
        <f t="shared" si="23"/>
        <v/>
      </c>
      <c r="V131" s="117" t="str">
        <f t="shared" si="15"/>
        <v xml:space="preserve">   </v>
      </c>
    </row>
    <row r="132" spans="5:22">
      <c r="E132" s="118" t="s">
        <v>64</v>
      </c>
      <c r="F132" s="113" t="str">
        <f t="shared" si="22"/>
        <v>-</v>
      </c>
      <c r="G132" s="114" t="str">
        <f t="shared" si="20"/>
        <v/>
      </c>
      <c r="H132" s="114" t="str">
        <f t="shared" si="21"/>
        <v/>
      </c>
      <c r="J132" s="113" t="str">
        <f t="shared" si="17"/>
        <v>-</v>
      </c>
      <c r="K132" s="113">
        <f t="shared" si="18"/>
        <v>0</v>
      </c>
      <c r="L132" s="114" t="str">
        <f t="shared" si="23"/>
        <v/>
      </c>
      <c r="V132" s="117" t="str">
        <f t="shared" si="15"/>
        <v xml:space="preserve">   </v>
      </c>
    </row>
    <row r="133" spans="5:22">
      <c r="E133" s="118" t="s">
        <v>64</v>
      </c>
      <c r="F133" s="113" t="str">
        <f t="shared" si="22"/>
        <v>-</v>
      </c>
      <c r="G133" s="114" t="str">
        <f t="shared" si="20"/>
        <v/>
      </c>
      <c r="H133" s="114" t="str">
        <f t="shared" si="21"/>
        <v/>
      </c>
      <c r="J133" s="113" t="str">
        <f t="shared" si="17"/>
        <v>-</v>
      </c>
      <c r="K133" s="113">
        <f t="shared" si="18"/>
        <v>0</v>
      </c>
      <c r="L133" s="114" t="str">
        <f t="shared" si="23"/>
        <v/>
      </c>
      <c r="V133" s="117" t="str">
        <f t="shared" si="15"/>
        <v xml:space="preserve">   </v>
      </c>
    </row>
    <row r="134" spans="5:22">
      <c r="E134" s="118" t="s">
        <v>64</v>
      </c>
      <c r="F134" s="113" t="str">
        <f t="shared" si="22"/>
        <v>-</v>
      </c>
      <c r="G134" s="114" t="str">
        <f t="shared" si="20"/>
        <v/>
      </c>
      <c r="H134" s="114" t="str">
        <f t="shared" si="21"/>
        <v/>
      </c>
      <c r="J134" s="113" t="str">
        <f t="shared" si="17"/>
        <v>-</v>
      </c>
      <c r="K134" s="113">
        <f t="shared" si="18"/>
        <v>0</v>
      </c>
      <c r="L134" s="114" t="str">
        <f t="shared" si="23"/>
        <v/>
      </c>
      <c r="V134" s="117" t="str">
        <f t="shared" ref="V134:V197" si="24">CONCATENATE(A134," ",B134," ",C134," ",D134)</f>
        <v xml:space="preserve">   </v>
      </c>
    </row>
    <row r="135" spans="5:22">
      <c r="E135" s="118" t="s">
        <v>64</v>
      </c>
      <c r="F135" s="113" t="str">
        <f t="shared" si="22"/>
        <v>-</v>
      </c>
      <c r="G135" s="114" t="str">
        <f t="shared" si="20"/>
        <v/>
      </c>
      <c r="H135" s="114" t="str">
        <f t="shared" si="21"/>
        <v/>
      </c>
      <c r="J135" s="113" t="str">
        <f t="shared" si="17"/>
        <v>-</v>
      </c>
      <c r="K135" s="113">
        <f t="shared" si="18"/>
        <v>0</v>
      </c>
      <c r="L135" s="114" t="str">
        <f t="shared" si="23"/>
        <v/>
      </c>
      <c r="V135" s="117" t="str">
        <f t="shared" si="24"/>
        <v xml:space="preserve">   </v>
      </c>
    </row>
    <row r="136" spans="5:22">
      <c r="E136" s="118" t="s">
        <v>64</v>
      </c>
      <c r="F136" s="113" t="str">
        <f t="shared" si="22"/>
        <v>-</v>
      </c>
      <c r="G136" s="114" t="str">
        <f t="shared" si="20"/>
        <v/>
      </c>
      <c r="H136" s="114" t="str">
        <f t="shared" si="21"/>
        <v/>
      </c>
      <c r="J136" s="113" t="str">
        <f t="shared" si="17"/>
        <v>-</v>
      </c>
      <c r="K136" s="113">
        <f t="shared" si="18"/>
        <v>0</v>
      </c>
      <c r="L136" s="114" t="str">
        <f t="shared" si="23"/>
        <v/>
      </c>
      <c r="V136" s="117" t="str">
        <f t="shared" si="24"/>
        <v xml:space="preserve">   </v>
      </c>
    </row>
    <row r="137" spans="5:22">
      <c r="E137" s="118" t="s">
        <v>64</v>
      </c>
      <c r="F137" s="113" t="str">
        <f t="shared" si="22"/>
        <v>-</v>
      </c>
      <c r="G137" s="114" t="str">
        <f t="shared" si="20"/>
        <v/>
      </c>
      <c r="H137" s="114" t="str">
        <f t="shared" si="21"/>
        <v/>
      </c>
      <c r="J137" s="113" t="str">
        <f t="shared" si="17"/>
        <v>-</v>
      </c>
      <c r="K137" s="113">
        <f t="shared" si="18"/>
        <v>0</v>
      </c>
      <c r="L137" s="114" t="str">
        <f t="shared" si="23"/>
        <v/>
      </c>
      <c r="V137" s="117" t="str">
        <f t="shared" si="24"/>
        <v xml:space="preserve">   </v>
      </c>
    </row>
    <row r="138" spans="5:22">
      <c r="E138" s="118" t="s">
        <v>64</v>
      </c>
      <c r="F138" s="113" t="str">
        <f t="shared" si="22"/>
        <v>-</v>
      </c>
      <c r="G138" s="114" t="str">
        <f t="shared" si="20"/>
        <v/>
      </c>
      <c r="H138" s="114" t="str">
        <f t="shared" si="21"/>
        <v/>
      </c>
      <c r="J138" s="113" t="str">
        <f t="shared" si="17"/>
        <v>-</v>
      </c>
      <c r="K138" s="113">
        <f t="shared" si="18"/>
        <v>0</v>
      </c>
      <c r="L138" s="114" t="str">
        <f t="shared" si="23"/>
        <v/>
      </c>
      <c r="V138" s="117" t="str">
        <f t="shared" si="24"/>
        <v xml:space="preserve">   </v>
      </c>
    </row>
    <row r="139" spans="5:22">
      <c r="E139" s="118" t="s">
        <v>64</v>
      </c>
      <c r="F139" s="113" t="str">
        <f t="shared" si="22"/>
        <v>-</v>
      </c>
      <c r="G139" s="114" t="str">
        <f t="shared" si="20"/>
        <v/>
      </c>
      <c r="H139" s="114" t="str">
        <f t="shared" si="21"/>
        <v/>
      </c>
      <c r="J139" s="113" t="str">
        <f t="shared" si="17"/>
        <v>-</v>
      </c>
      <c r="K139" s="113">
        <f t="shared" si="18"/>
        <v>0</v>
      </c>
      <c r="L139" s="114" t="str">
        <f t="shared" si="23"/>
        <v/>
      </c>
      <c r="V139" s="117" t="str">
        <f t="shared" si="24"/>
        <v xml:space="preserve">   </v>
      </c>
    </row>
    <row r="140" spans="5:22">
      <c r="E140" s="118" t="s">
        <v>64</v>
      </c>
      <c r="F140" s="113" t="str">
        <f t="shared" si="22"/>
        <v>-</v>
      </c>
      <c r="G140" s="114" t="str">
        <f t="shared" si="20"/>
        <v/>
      </c>
      <c r="H140" s="114" t="str">
        <f t="shared" si="21"/>
        <v/>
      </c>
      <c r="J140" s="113" t="str">
        <f t="shared" si="17"/>
        <v>-</v>
      </c>
      <c r="K140" s="113">
        <f t="shared" si="18"/>
        <v>0</v>
      </c>
      <c r="L140" s="114" t="str">
        <f t="shared" si="23"/>
        <v/>
      </c>
      <c r="V140" s="117" t="str">
        <f t="shared" si="24"/>
        <v xml:space="preserve">   </v>
      </c>
    </row>
    <row r="141" spans="5:22">
      <c r="E141" s="118" t="s">
        <v>64</v>
      </c>
      <c r="F141" s="113" t="str">
        <f t="shared" si="22"/>
        <v>-</v>
      </c>
      <c r="G141" s="114" t="str">
        <f t="shared" si="20"/>
        <v/>
      </c>
      <c r="H141" s="114" t="str">
        <f t="shared" si="21"/>
        <v/>
      </c>
      <c r="J141" s="113" t="str">
        <f t="shared" si="17"/>
        <v>-</v>
      </c>
      <c r="K141" s="113">
        <f t="shared" si="18"/>
        <v>0</v>
      </c>
      <c r="L141" s="114" t="str">
        <f t="shared" si="23"/>
        <v/>
      </c>
      <c r="V141" s="117" t="str">
        <f t="shared" si="24"/>
        <v xml:space="preserve">   </v>
      </c>
    </row>
    <row r="142" spans="5:22">
      <c r="E142" s="118" t="s">
        <v>64</v>
      </c>
      <c r="F142" s="113" t="str">
        <f t="shared" ref="F142:F173" si="25">IFERROR(INDEX(A142,MATCH(E142&amp;"*",A142,)),"-")</f>
        <v>-</v>
      </c>
      <c r="G142" s="114" t="str">
        <f t="shared" si="20"/>
        <v/>
      </c>
      <c r="H142" s="114" t="str">
        <f t="shared" si="21"/>
        <v/>
      </c>
      <c r="J142" s="113" t="str">
        <f t="shared" ref="J142:J200" si="26">IF(F142="-","-",LEFT(F142,6))</f>
        <v>-</v>
      </c>
      <c r="K142" s="113">
        <f t="shared" ref="K142:K200" si="27">I142</f>
        <v>0</v>
      </c>
      <c r="L142" s="114" t="str">
        <f t="shared" ref="L142:L173" si="28">IF(F142="-","",B142)</f>
        <v/>
      </c>
      <c r="V142" s="117" t="str">
        <f t="shared" si="24"/>
        <v xml:space="preserve">   </v>
      </c>
    </row>
    <row r="143" spans="5:22">
      <c r="E143" s="118" t="s">
        <v>64</v>
      </c>
      <c r="F143" s="113" t="str">
        <f t="shared" si="25"/>
        <v>-</v>
      </c>
      <c r="G143" s="114" t="str">
        <f t="shared" ref="G143:G200" si="29">IF(F143="-","",LEFT(F143,6))</f>
        <v/>
      </c>
      <c r="H143" s="114" t="str">
        <f t="shared" si="21"/>
        <v/>
      </c>
      <c r="J143" s="113" t="str">
        <f t="shared" si="26"/>
        <v>-</v>
      </c>
      <c r="K143" s="113">
        <f t="shared" si="27"/>
        <v>0</v>
      </c>
      <c r="L143" s="114" t="str">
        <f t="shared" si="28"/>
        <v/>
      </c>
      <c r="V143" s="117" t="str">
        <f t="shared" si="24"/>
        <v xml:space="preserve">   </v>
      </c>
    </row>
    <row r="144" spans="5:22">
      <c r="E144" s="118" t="s">
        <v>64</v>
      </c>
      <c r="F144" s="113" t="str">
        <f t="shared" si="25"/>
        <v>-</v>
      </c>
      <c r="G144" s="114" t="str">
        <f t="shared" si="29"/>
        <v/>
      </c>
      <c r="H144" s="114" t="str">
        <f t="shared" si="21"/>
        <v/>
      </c>
      <c r="J144" s="113" t="str">
        <f t="shared" si="26"/>
        <v>-</v>
      </c>
      <c r="K144" s="113">
        <f t="shared" si="27"/>
        <v>0</v>
      </c>
      <c r="L144" s="114" t="str">
        <f t="shared" si="28"/>
        <v/>
      </c>
      <c r="V144" s="117" t="str">
        <f t="shared" si="24"/>
        <v xml:space="preserve">   </v>
      </c>
    </row>
    <row r="145" spans="5:22">
      <c r="E145" s="118" t="s">
        <v>64</v>
      </c>
      <c r="F145" s="113" t="str">
        <f t="shared" si="25"/>
        <v>-</v>
      </c>
      <c r="G145" s="114" t="str">
        <f t="shared" si="29"/>
        <v/>
      </c>
      <c r="H145" s="114" t="str">
        <f t="shared" si="21"/>
        <v/>
      </c>
      <c r="J145" s="113" t="str">
        <f t="shared" si="26"/>
        <v>-</v>
      </c>
      <c r="K145" s="113">
        <f t="shared" si="27"/>
        <v>0</v>
      </c>
      <c r="L145" s="114" t="str">
        <f t="shared" si="28"/>
        <v/>
      </c>
      <c r="V145" s="117" t="str">
        <f t="shared" si="24"/>
        <v xml:space="preserve">   </v>
      </c>
    </row>
    <row r="146" spans="5:22">
      <c r="E146" s="118" t="s">
        <v>64</v>
      </c>
      <c r="F146" s="113" t="str">
        <f t="shared" si="25"/>
        <v>-</v>
      </c>
      <c r="G146" s="114" t="str">
        <f t="shared" si="29"/>
        <v/>
      </c>
      <c r="H146" s="114" t="str">
        <f t="shared" si="21"/>
        <v/>
      </c>
      <c r="J146" s="113" t="str">
        <f t="shared" si="26"/>
        <v>-</v>
      </c>
      <c r="K146" s="113">
        <f t="shared" si="27"/>
        <v>0</v>
      </c>
      <c r="L146" s="114" t="str">
        <f t="shared" si="28"/>
        <v/>
      </c>
      <c r="V146" s="117" t="str">
        <f t="shared" si="24"/>
        <v xml:space="preserve">   </v>
      </c>
    </row>
    <row r="147" spans="5:22">
      <c r="E147" s="118" t="s">
        <v>64</v>
      </c>
      <c r="F147" s="113" t="str">
        <f t="shared" si="25"/>
        <v>-</v>
      </c>
      <c r="G147" s="114" t="str">
        <f t="shared" si="29"/>
        <v/>
      </c>
      <c r="H147" s="114" t="str">
        <f t="shared" si="21"/>
        <v/>
      </c>
      <c r="J147" s="113" t="str">
        <f t="shared" si="26"/>
        <v>-</v>
      </c>
      <c r="K147" s="113">
        <f t="shared" si="27"/>
        <v>0</v>
      </c>
      <c r="L147" s="114" t="str">
        <f t="shared" si="28"/>
        <v/>
      </c>
      <c r="V147" s="117" t="str">
        <f t="shared" si="24"/>
        <v xml:space="preserve">   </v>
      </c>
    </row>
    <row r="148" spans="5:22">
      <c r="E148" s="118" t="s">
        <v>64</v>
      </c>
      <c r="F148" s="113" t="str">
        <f t="shared" si="25"/>
        <v>-</v>
      </c>
      <c r="G148" s="114" t="str">
        <f t="shared" si="29"/>
        <v/>
      </c>
      <c r="H148" s="114" t="str">
        <f t="shared" si="21"/>
        <v/>
      </c>
      <c r="J148" s="113" t="str">
        <f t="shared" si="26"/>
        <v>-</v>
      </c>
      <c r="K148" s="113">
        <f t="shared" si="27"/>
        <v>0</v>
      </c>
      <c r="L148" s="114" t="str">
        <f t="shared" si="28"/>
        <v/>
      </c>
      <c r="V148" s="117" t="str">
        <f t="shared" si="24"/>
        <v xml:space="preserve">   </v>
      </c>
    </row>
    <row r="149" spans="5:22">
      <c r="E149" s="118" t="s">
        <v>64</v>
      </c>
      <c r="F149" s="113" t="str">
        <f t="shared" si="25"/>
        <v>-</v>
      </c>
      <c r="G149" s="114" t="str">
        <f t="shared" si="29"/>
        <v/>
      </c>
      <c r="H149" s="114" t="str">
        <f t="shared" si="21"/>
        <v/>
      </c>
      <c r="J149" s="113" t="str">
        <f t="shared" si="26"/>
        <v>-</v>
      </c>
      <c r="K149" s="113">
        <f t="shared" si="27"/>
        <v>0</v>
      </c>
      <c r="L149" s="114" t="str">
        <f t="shared" si="28"/>
        <v/>
      </c>
      <c r="V149" s="117" t="str">
        <f t="shared" si="24"/>
        <v xml:space="preserve">   </v>
      </c>
    </row>
    <row r="150" spans="5:22">
      <c r="E150" s="118" t="s">
        <v>64</v>
      </c>
      <c r="F150" s="113" t="str">
        <f t="shared" si="25"/>
        <v>-</v>
      </c>
      <c r="G150" s="114" t="str">
        <f t="shared" si="29"/>
        <v/>
      </c>
      <c r="H150" s="114" t="str">
        <f t="shared" si="21"/>
        <v/>
      </c>
      <c r="J150" s="113" t="str">
        <f t="shared" si="26"/>
        <v>-</v>
      </c>
      <c r="K150" s="113">
        <f t="shared" si="27"/>
        <v>0</v>
      </c>
      <c r="L150" s="114" t="str">
        <f t="shared" si="28"/>
        <v/>
      </c>
      <c r="V150" s="117" t="str">
        <f t="shared" si="24"/>
        <v xml:space="preserve">   </v>
      </c>
    </row>
    <row r="151" spans="5:22">
      <c r="E151" s="118" t="s">
        <v>64</v>
      </c>
      <c r="F151" s="113" t="str">
        <f t="shared" si="25"/>
        <v>-</v>
      </c>
      <c r="G151" s="114" t="str">
        <f t="shared" si="29"/>
        <v/>
      </c>
      <c r="H151" s="114" t="str">
        <f t="shared" si="21"/>
        <v/>
      </c>
      <c r="J151" s="113" t="str">
        <f t="shared" si="26"/>
        <v>-</v>
      </c>
      <c r="K151" s="113">
        <f t="shared" si="27"/>
        <v>0</v>
      </c>
      <c r="L151" s="114" t="str">
        <f t="shared" si="28"/>
        <v/>
      </c>
      <c r="V151" s="117" t="str">
        <f t="shared" si="24"/>
        <v xml:space="preserve">   </v>
      </c>
    </row>
    <row r="152" spans="5:22">
      <c r="E152" s="118" t="s">
        <v>64</v>
      </c>
      <c r="F152" s="113" t="str">
        <f t="shared" si="25"/>
        <v>-</v>
      </c>
      <c r="G152" s="114" t="str">
        <f t="shared" si="29"/>
        <v/>
      </c>
      <c r="H152" s="114" t="str">
        <f t="shared" si="21"/>
        <v/>
      </c>
      <c r="J152" s="113" t="str">
        <f t="shared" si="26"/>
        <v>-</v>
      </c>
      <c r="K152" s="113">
        <f t="shared" si="27"/>
        <v>0</v>
      </c>
      <c r="L152" s="114" t="str">
        <f t="shared" si="28"/>
        <v/>
      </c>
      <c r="V152" s="117" t="str">
        <f t="shared" si="24"/>
        <v xml:space="preserve">   </v>
      </c>
    </row>
    <row r="153" spans="5:22">
      <c r="E153" s="118" t="s">
        <v>64</v>
      </c>
      <c r="F153" s="113" t="str">
        <f t="shared" si="25"/>
        <v>-</v>
      </c>
      <c r="G153" s="114" t="str">
        <f t="shared" si="29"/>
        <v/>
      </c>
      <c r="H153" s="114" t="str">
        <f t="shared" si="21"/>
        <v/>
      </c>
      <c r="J153" s="113" t="str">
        <f t="shared" si="26"/>
        <v>-</v>
      </c>
      <c r="K153" s="113">
        <f t="shared" si="27"/>
        <v>0</v>
      </c>
      <c r="L153" s="114" t="str">
        <f t="shared" si="28"/>
        <v/>
      </c>
      <c r="V153" s="117" t="str">
        <f t="shared" si="24"/>
        <v xml:space="preserve">   </v>
      </c>
    </row>
    <row r="154" spans="5:22">
      <c r="E154" s="118" t="s">
        <v>64</v>
      </c>
      <c r="F154" s="113" t="str">
        <f t="shared" si="25"/>
        <v>-</v>
      </c>
      <c r="G154" s="114" t="str">
        <f t="shared" si="29"/>
        <v/>
      </c>
      <c r="H154" s="114" t="str">
        <f t="shared" si="21"/>
        <v/>
      </c>
      <c r="J154" s="113" t="str">
        <f t="shared" si="26"/>
        <v>-</v>
      </c>
      <c r="K154" s="113">
        <f t="shared" si="27"/>
        <v>0</v>
      </c>
      <c r="L154" s="114" t="str">
        <f t="shared" si="28"/>
        <v/>
      </c>
      <c r="V154" s="117" t="str">
        <f t="shared" si="24"/>
        <v xml:space="preserve">   </v>
      </c>
    </row>
    <row r="155" spans="5:22">
      <c r="E155" s="118" t="s">
        <v>64</v>
      </c>
      <c r="F155" s="113" t="str">
        <f t="shared" si="25"/>
        <v>-</v>
      </c>
      <c r="G155" s="114" t="str">
        <f t="shared" si="29"/>
        <v/>
      </c>
      <c r="H155" s="114" t="str">
        <f t="shared" si="21"/>
        <v/>
      </c>
      <c r="J155" s="113" t="str">
        <f t="shared" si="26"/>
        <v>-</v>
      </c>
      <c r="K155" s="113">
        <f t="shared" si="27"/>
        <v>0</v>
      </c>
      <c r="L155" s="114" t="str">
        <f t="shared" si="28"/>
        <v/>
      </c>
      <c r="V155" s="117" t="str">
        <f t="shared" si="24"/>
        <v xml:space="preserve">   </v>
      </c>
    </row>
    <row r="156" spans="5:22">
      <c r="E156" s="118" t="s">
        <v>64</v>
      </c>
      <c r="F156" s="113" t="str">
        <f t="shared" si="25"/>
        <v>-</v>
      </c>
      <c r="G156" s="114" t="str">
        <f t="shared" si="29"/>
        <v/>
      </c>
      <c r="H156" s="114" t="str">
        <f t="shared" si="21"/>
        <v/>
      </c>
      <c r="J156" s="113" t="str">
        <f t="shared" si="26"/>
        <v>-</v>
      </c>
      <c r="K156" s="113">
        <f t="shared" si="27"/>
        <v>0</v>
      </c>
      <c r="L156" s="114" t="str">
        <f t="shared" si="28"/>
        <v/>
      </c>
      <c r="V156" s="117" t="str">
        <f t="shared" si="24"/>
        <v xml:space="preserve">   </v>
      </c>
    </row>
    <row r="157" spans="5:22">
      <c r="E157" s="118" t="s">
        <v>64</v>
      </c>
      <c r="F157" s="113" t="str">
        <f t="shared" si="25"/>
        <v>-</v>
      </c>
      <c r="G157" s="114" t="str">
        <f t="shared" si="29"/>
        <v/>
      </c>
      <c r="H157" s="114" t="str">
        <f t="shared" si="21"/>
        <v/>
      </c>
      <c r="J157" s="113" t="str">
        <f t="shared" si="26"/>
        <v>-</v>
      </c>
      <c r="K157" s="113">
        <f t="shared" si="27"/>
        <v>0</v>
      </c>
      <c r="L157" s="114" t="str">
        <f t="shared" si="28"/>
        <v/>
      </c>
      <c r="V157" s="117" t="str">
        <f t="shared" si="24"/>
        <v xml:space="preserve">   </v>
      </c>
    </row>
    <row r="158" spans="5:22">
      <c r="E158" s="118" t="s">
        <v>64</v>
      </c>
      <c r="F158" s="113" t="str">
        <f t="shared" si="25"/>
        <v>-</v>
      </c>
      <c r="G158" s="114" t="str">
        <f t="shared" si="29"/>
        <v/>
      </c>
      <c r="H158" s="114" t="str">
        <f t="shared" ref="H158:H200" si="30">MID(F158,8,50)</f>
        <v/>
      </c>
      <c r="J158" s="113" t="str">
        <f t="shared" si="26"/>
        <v>-</v>
      </c>
      <c r="K158" s="113">
        <f t="shared" si="27"/>
        <v>0</v>
      </c>
      <c r="L158" s="114" t="str">
        <f t="shared" si="28"/>
        <v/>
      </c>
      <c r="V158" s="117" t="str">
        <f t="shared" si="24"/>
        <v xml:space="preserve">   </v>
      </c>
    </row>
    <row r="159" spans="5:22">
      <c r="E159" s="118" t="s">
        <v>64</v>
      </c>
      <c r="F159" s="113" t="str">
        <f t="shared" si="25"/>
        <v>-</v>
      </c>
      <c r="G159" s="114" t="str">
        <f t="shared" si="29"/>
        <v/>
      </c>
      <c r="H159" s="114" t="str">
        <f t="shared" si="30"/>
        <v/>
      </c>
      <c r="J159" s="113" t="str">
        <f t="shared" si="26"/>
        <v>-</v>
      </c>
      <c r="K159" s="113">
        <f t="shared" si="27"/>
        <v>0</v>
      </c>
      <c r="L159" s="114" t="str">
        <f t="shared" si="28"/>
        <v/>
      </c>
      <c r="V159" s="117" t="str">
        <f t="shared" si="24"/>
        <v xml:space="preserve">   </v>
      </c>
    </row>
    <row r="160" spans="5:22">
      <c r="E160" s="118" t="s">
        <v>64</v>
      </c>
      <c r="F160" s="113" t="str">
        <f t="shared" si="25"/>
        <v>-</v>
      </c>
      <c r="G160" s="114" t="str">
        <f t="shared" si="29"/>
        <v/>
      </c>
      <c r="H160" s="114" t="str">
        <f t="shared" si="30"/>
        <v/>
      </c>
      <c r="J160" s="113" t="str">
        <f t="shared" si="26"/>
        <v>-</v>
      </c>
      <c r="K160" s="113">
        <f t="shared" si="27"/>
        <v>0</v>
      </c>
      <c r="L160" s="114" t="str">
        <f t="shared" si="28"/>
        <v/>
      </c>
      <c r="V160" s="117" t="str">
        <f t="shared" si="24"/>
        <v xml:space="preserve">   </v>
      </c>
    </row>
    <row r="161" spans="5:22">
      <c r="E161" s="118" t="s">
        <v>64</v>
      </c>
      <c r="F161" s="113" t="str">
        <f t="shared" si="25"/>
        <v>-</v>
      </c>
      <c r="G161" s="114" t="str">
        <f t="shared" si="29"/>
        <v/>
      </c>
      <c r="H161" s="114" t="str">
        <f t="shared" si="30"/>
        <v/>
      </c>
      <c r="J161" s="113" t="str">
        <f t="shared" si="26"/>
        <v>-</v>
      </c>
      <c r="K161" s="113">
        <f t="shared" si="27"/>
        <v>0</v>
      </c>
      <c r="L161" s="114" t="str">
        <f t="shared" si="28"/>
        <v/>
      </c>
      <c r="V161" s="117" t="str">
        <f t="shared" si="24"/>
        <v xml:space="preserve">   </v>
      </c>
    </row>
    <row r="162" spans="5:22">
      <c r="E162" s="118" t="s">
        <v>64</v>
      </c>
      <c r="F162" s="113" t="str">
        <f t="shared" si="25"/>
        <v>-</v>
      </c>
      <c r="G162" s="114" t="str">
        <f t="shared" si="29"/>
        <v/>
      </c>
      <c r="H162" s="114" t="str">
        <f t="shared" si="30"/>
        <v/>
      </c>
      <c r="J162" s="113" t="str">
        <f t="shared" si="26"/>
        <v>-</v>
      </c>
      <c r="K162" s="113">
        <f t="shared" si="27"/>
        <v>0</v>
      </c>
      <c r="L162" s="114" t="str">
        <f t="shared" si="28"/>
        <v/>
      </c>
      <c r="V162" s="117" t="str">
        <f t="shared" si="24"/>
        <v xml:space="preserve">   </v>
      </c>
    </row>
    <row r="163" spans="5:22">
      <c r="E163" s="118" t="s">
        <v>64</v>
      </c>
      <c r="F163" s="113" t="str">
        <f t="shared" si="25"/>
        <v>-</v>
      </c>
      <c r="G163" s="114" t="str">
        <f t="shared" si="29"/>
        <v/>
      </c>
      <c r="H163" s="114" t="str">
        <f t="shared" si="30"/>
        <v/>
      </c>
      <c r="J163" s="113" t="str">
        <f t="shared" si="26"/>
        <v>-</v>
      </c>
      <c r="K163" s="113">
        <f t="shared" si="27"/>
        <v>0</v>
      </c>
      <c r="L163" s="114" t="str">
        <f t="shared" si="28"/>
        <v/>
      </c>
      <c r="V163" s="117" t="str">
        <f t="shared" si="24"/>
        <v xml:space="preserve">   </v>
      </c>
    </row>
    <row r="164" spans="5:22">
      <c r="E164" s="118" t="s">
        <v>64</v>
      </c>
      <c r="F164" s="113" t="str">
        <f t="shared" si="25"/>
        <v>-</v>
      </c>
      <c r="G164" s="114" t="str">
        <f t="shared" si="29"/>
        <v/>
      </c>
      <c r="H164" s="114" t="str">
        <f t="shared" si="30"/>
        <v/>
      </c>
      <c r="J164" s="113" t="str">
        <f t="shared" si="26"/>
        <v>-</v>
      </c>
      <c r="K164" s="113">
        <f t="shared" si="27"/>
        <v>0</v>
      </c>
      <c r="L164" s="114" t="str">
        <f t="shared" si="28"/>
        <v/>
      </c>
      <c r="V164" s="117" t="str">
        <f t="shared" si="24"/>
        <v xml:space="preserve">   </v>
      </c>
    </row>
    <row r="165" spans="5:22">
      <c r="E165" s="118" t="s">
        <v>64</v>
      </c>
      <c r="F165" s="113" t="str">
        <f t="shared" si="25"/>
        <v>-</v>
      </c>
      <c r="G165" s="114" t="str">
        <f t="shared" si="29"/>
        <v/>
      </c>
      <c r="H165" s="114" t="str">
        <f t="shared" si="30"/>
        <v/>
      </c>
      <c r="J165" s="113" t="str">
        <f t="shared" si="26"/>
        <v>-</v>
      </c>
      <c r="K165" s="113">
        <f t="shared" si="27"/>
        <v>0</v>
      </c>
      <c r="L165" s="114" t="str">
        <f t="shared" si="28"/>
        <v/>
      </c>
      <c r="V165" s="117" t="str">
        <f t="shared" si="24"/>
        <v xml:space="preserve">   </v>
      </c>
    </row>
    <row r="166" spans="5:22">
      <c r="E166" s="118" t="s">
        <v>64</v>
      </c>
      <c r="F166" s="113" t="str">
        <f t="shared" si="25"/>
        <v>-</v>
      </c>
      <c r="G166" s="114" t="str">
        <f t="shared" si="29"/>
        <v/>
      </c>
      <c r="H166" s="114" t="str">
        <f t="shared" si="30"/>
        <v/>
      </c>
      <c r="J166" s="113" t="str">
        <f t="shared" si="26"/>
        <v>-</v>
      </c>
      <c r="K166" s="113">
        <f t="shared" si="27"/>
        <v>0</v>
      </c>
      <c r="L166" s="114" t="str">
        <f t="shared" si="28"/>
        <v/>
      </c>
      <c r="V166" s="117" t="str">
        <f t="shared" si="24"/>
        <v xml:space="preserve">   </v>
      </c>
    </row>
    <row r="167" spans="5:22">
      <c r="E167" s="118" t="s">
        <v>64</v>
      </c>
      <c r="F167" s="113" t="str">
        <f t="shared" si="25"/>
        <v>-</v>
      </c>
      <c r="G167" s="114" t="str">
        <f t="shared" si="29"/>
        <v/>
      </c>
      <c r="H167" s="114" t="str">
        <f t="shared" si="30"/>
        <v/>
      </c>
      <c r="J167" s="113" t="str">
        <f t="shared" si="26"/>
        <v>-</v>
      </c>
      <c r="K167" s="113">
        <f t="shared" si="27"/>
        <v>0</v>
      </c>
      <c r="L167" s="114" t="str">
        <f t="shared" si="28"/>
        <v/>
      </c>
      <c r="V167" s="117" t="str">
        <f t="shared" si="24"/>
        <v xml:space="preserve">   </v>
      </c>
    </row>
    <row r="168" spans="5:22">
      <c r="E168" s="118" t="s">
        <v>64</v>
      </c>
      <c r="F168" s="113" t="str">
        <f t="shared" si="25"/>
        <v>-</v>
      </c>
      <c r="G168" s="114" t="str">
        <f t="shared" si="29"/>
        <v/>
      </c>
      <c r="H168" s="114" t="str">
        <f t="shared" si="30"/>
        <v/>
      </c>
      <c r="J168" s="113" t="str">
        <f t="shared" si="26"/>
        <v>-</v>
      </c>
      <c r="K168" s="113">
        <f t="shared" si="27"/>
        <v>0</v>
      </c>
      <c r="L168" s="114" t="str">
        <f t="shared" si="28"/>
        <v/>
      </c>
      <c r="V168" s="117" t="str">
        <f t="shared" si="24"/>
        <v xml:space="preserve">   </v>
      </c>
    </row>
    <row r="169" spans="5:22">
      <c r="E169" s="118" t="s">
        <v>64</v>
      </c>
      <c r="F169" s="113" t="str">
        <f t="shared" si="25"/>
        <v>-</v>
      </c>
      <c r="G169" s="114" t="str">
        <f t="shared" si="29"/>
        <v/>
      </c>
      <c r="H169" s="114" t="str">
        <f t="shared" si="30"/>
        <v/>
      </c>
      <c r="J169" s="113" t="str">
        <f t="shared" si="26"/>
        <v>-</v>
      </c>
      <c r="K169" s="113">
        <f t="shared" si="27"/>
        <v>0</v>
      </c>
      <c r="L169" s="114" t="str">
        <f t="shared" si="28"/>
        <v/>
      </c>
      <c r="V169" s="117" t="str">
        <f t="shared" si="24"/>
        <v xml:space="preserve">   </v>
      </c>
    </row>
    <row r="170" spans="5:22">
      <c r="E170" s="118" t="s">
        <v>64</v>
      </c>
      <c r="F170" s="113" t="str">
        <f t="shared" si="25"/>
        <v>-</v>
      </c>
      <c r="G170" s="114" t="str">
        <f t="shared" si="29"/>
        <v/>
      </c>
      <c r="H170" s="114" t="str">
        <f t="shared" si="30"/>
        <v/>
      </c>
      <c r="J170" s="113" t="str">
        <f t="shared" si="26"/>
        <v>-</v>
      </c>
      <c r="K170" s="113">
        <f t="shared" si="27"/>
        <v>0</v>
      </c>
      <c r="L170" s="114" t="str">
        <f t="shared" si="28"/>
        <v/>
      </c>
      <c r="V170" s="117" t="str">
        <f t="shared" si="24"/>
        <v xml:space="preserve">   </v>
      </c>
    </row>
    <row r="171" spans="5:22">
      <c r="E171" s="118" t="s">
        <v>64</v>
      </c>
      <c r="F171" s="113" t="str">
        <f t="shared" si="25"/>
        <v>-</v>
      </c>
      <c r="G171" s="114" t="str">
        <f t="shared" si="29"/>
        <v/>
      </c>
      <c r="H171" s="114" t="str">
        <f t="shared" si="30"/>
        <v/>
      </c>
      <c r="J171" s="113" t="str">
        <f t="shared" si="26"/>
        <v>-</v>
      </c>
      <c r="K171" s="113">
        <f t="shared" si="27"/>
        <v>0</v>
      </c>
      <c r="L171" s="114" t="str">
        <f t="shared" si="28"/>
        <v/>
      </c>
      <c r="V171" s="117" t="str">
        <f t="shared" si="24"/>
        <v xml:space="preserve">   </v>
      </c>
    </row>
    <row r="172" spans="5:22">
      <c r="E172" s="118" t="s">
        <v>64</v>
      </c>
      <c r="F172" s="113" t="str">
        <f t="shared" si="25"/>
        <v>-</v>
      </c>
      <c r="G172" s="114" t="str">
        <f t="shared" si="29"/>
        <v/>
      </c>
      <c r="H172" s="114" t="str">
        <f t="shared" si="30"/>
        <v/>
      </c>
      <c r="J172" s="113" t="str">
        <f t="shared" si="26"/>
        <v>-</v>
      </c>
      <c r="K172" s="113">
        <f t="shared" si="27"/>
        <v>0</v>
      </c>
      <c r="L172" s="114" t="str">
        <f t="shared" si="28"/>
        <v/>
      </c>
      <c r="V172" s="117" t="str">
        <f t="shared" si="24"/>
        <v xml:space="preserve">   </v>
      </c>
    </row>
    <row r="173" spans="5:22">
      <c r="E173" s="118" t="s">
        <v>64</v>
      </c>
      <c r="F173" s="113" t="str">
        <f t="shared" si="25"/>
        <v>-</v>
      </c>
      <c r="G173" s="114" t="str">
        <f t="shared" si="29"/>
        <v/>
      </c>
      <c r="H173" s="114" t="str">
        <f t="shared" si="30"/>
        <v/>
      </c>
      <c r="J173" s="113" t="str">
        <f t="shared" si="26"/>
        <v>-</v>
      </c>
      <c r="K173" s="113">
        <f t="shared" si="27"/>
        <v>0</v>
      </c>
      <c r="L173" s="114" t="str">
        <f t="shared" si="28"/>
        <v/>
      </c>
      <c r="V173" s="117" t="str">
        <f t="shared" si="24"/>
        <v xml:space="preserve">   </v>
      </c>
    </row>
    <row r="174" spans="5:22">
      <c r="E174" s="118" t="s">
        <v>64</v>
      </c>
      <c r="F174" s="113" t="str">
        <f t="shared" ref="F174:F200" si="31">IFERROR(INDEX(A174,MATCH(E174&amp;"*",A174,)),"-")</f>
        <v>-</v>
      </c>
      <c r="G174" s="114" t="str">
        <f t="shared" si="29"/>
        <v/>
      </c>
      <c r="H174" s="114" t="str">
        <f t="shared" si="30"/>
        <v/>
      </c>
      <c r="J174" s="113" t="str">
        <f t="shared" si="26"/>
        <v>-</v>
      </c>
      <c r="K174" s="113">
        <f t="shared" si="27"/>
        <v>0</v>
      </c>
      <c r="L174" s="114" t="str">
        <f t="shared" ref="L174:L200" si="32">IF(F174="-","",B174)</f>
        <v/>
      </c>
      <c r="V174" s="117" t="str">
        <f t="shared" si="24"/>
        <v xml:space="preserve">   </v>
      </c>
    </row>
    <row r="175" spans="5:22">
      <c r="E175" s="118" t="s">
        <v>64</v>
      </c>
      <c r="F175" s="113" t="str">
        <f t="shared" si="31"/>
        <v>-</v>
      </c>
      <c r="G175" s="114" t="str">
        <f t="shared" si="29"/>
        <v/>
      </c>
      <c r="H175" s="114" t="str">
        <f t="shared" si="30"/>
        <v/>
      </c>
      <c r="J175" s="113" t="str">
        <f t="shared" si="26"/>
        <v>-</v>
      </c>
      <c r="K175" s="113">
        <f t="shared" si="27"/>
        <v>0</v>
      </c>
      <c r="L175" s="114" t="str">
        <f t="shared" si="32"/>
        <v/>
      </c>
      <c r="V175" s="117" t="str">
        <f t="shared" si="24"/>
        <v xml:space="preserve">   </v>
      </c>
    </row>
    <row r="176" spans="5:22">
      <c r="E176" s="118" t="s">
        <v>64</v>
      </c>
      <c r="F176" s="113" t="str">
        <f t="shared" si="31"/>
        <v>-</v>
      </c>
      <c r="G176" s="114" t="str">
        <f t="shared" si="29"/>
        <v/>
      </c>
      <c r="H176" s="114" t="str">
        <f t="shared" si="30"/>
        <v/>
      </c>
      <c r="J176" s="113" t="str">
        <f t="shared" si="26"/>
        <v>-</v>
      </c>
      <c r="K176" s="113">
        <f t="shared" si="27"/>
        <v>0</v>
      </c>
      <c r="L176" s="114" t="str">
        <f t="shared" si="32"/>
        <v/>
      </c>
      <c r="V176" s="117" t="str">
        <f t="shared" si="24"/>
        <v xml:space="preserve">   </v>
      </c>
    </row>
    <row r="177" spans="5:22">
      <c r="E177" s="118" t="s">
        <v>64</v>
      </c>
      <c r="F177" s="113" t="str">
        <f t="shared" si="31"/>
        <v>-</v>
      </c>
      <c r="G177" s="114" t="str">
        <f t="shared" si="29"/>
        <v/>
      </c>
      <c r="H177" s="114" t="str">
        <f t="shared" si="30"/>
        <v/>
      </c>
      <c r="J177" s="113" t="str">
        <f t="shared" si="26"/>
        <v>-</v>
      </c>
      <c r="K177" s="113">
        <f t="shared" si="27"/>
        <v>0</v>
      </c>
      <c r="L177" s="114" t="str">
        <f t="shared" si="32"/>
        <v/>
      </c>
      <c r="V177" s="117" t="str">
        <f t="shared" si="24"/>
        <v xml:space="preserve">   </v>
      </c>
    </row>
    <row r="178" spans="5:22">
      <c r="E178" s="118" t="s">
        <v>64</v>
      </c>
      <c r="F178" s="113" t="str">
        <f t="shared" si="31"/>
        <v>-</v>
      </c>
      <c r="G178" s="114" t="str">
        <f t="shared" si="29"/>
        <v/>
      </c>
      <c r="H178" s="114" t="str">
        <f t="shared" si="30"/>
        <v/>
      </c>
      <c r="J178" s="113" t="str">
        <f t="shared" si="26"/>
        <v>-</v>
      </c>
      <c r="K178" s="113">
        <f t="shared" si="27"/>
        <v>0</v>
      </c>
      <c r="L178" s="114" t="str">
        <f t="shared" si="32"/>
        <v/>
      </c>
      <c r="V178" s="117" t="str">
        <f t="shared" si="24"/>
        <v xml:space="preserve">   </v>
      </c>
    </row>
    <row r="179" spans="5:22">
      <c r="E179" s="118" t="s">
        <v>64</v>
      </c>
      <c r="F179" s="113" t="str">
        <f t="shared" si="31"/>
        <v>-</v>
      </c>
      <c r="G179" s="114" t="str">
        <f t="shared" si="29"/>
        <v/>
      </c>
      <c r="H179" s="114" t="str">
        <f t="shared" si="30"/>
        <v/>
      </c>
      <c r="J179" s="113" t="str">
        <f t="shared" si="26"/>
        <v>-</v>
      </c>
      <c r="K179" s="113">
        <f t="shared" si="27"/>
        <v>0</v>
      </c>
      <c r="L179" s="114" t="str">
        <f t="shared" si="32"/>
        <v/>
      </c>
      <c r="V179" s="117" t="str">
        <f t="shared" si="24"/>
        <v xml:space="preserve">   </v>
      </c>
    </row>
    <row r="180" spans="5:22">
      <c r="E180" s="118" t="s">
        <v>64</v>
      </c>
      <c r="F180" s="113" t="str">
        <f t="shared" si="31"/>
        <v>-</v>
      </c>
      <c r="G180" s="114" t="str">
        <f t="shared" si="29"/>
        <v/>
      </c>
      <c r="H180" s="114" t="str">
        <f t="shared" si="30"/>
        <v/>
      </c>
      <c r="J180" s="113" t="str">
        <f t="shared" si="26"/>
        <v>-</v>
      </c>
      <c r="K180" s="113">
        <f t="shared" si="27"/>
        <v>0</v>
      </c>
      <c r="L180" s="114" t="str">
        <f t="shared" si="32"/>
        <v/>
      </c>
      <c r="V180" s="117" t="str">
        <f t="shared" si="24"/>
        <v xml:space="preserve">   </v>
      </c>
    </row>
    <row r="181" spans="5:22">
      <c r="E181" s="118" t="s">
        <v>64</v>
      </c>
      <c r="F181" s="113" t="str">
        <f t="shared" si="31"/>
        <v>-</v>
      </c>
      <c r="G181" s="114" t="str">
        <f t="shared" si="29"/>
        <v/>
      </c>
      <c r="H181" s="114" t="str">
        <f t="shared" si="30"/>
        <v/>
      </c>
      <c r="J181" s="113" t="str">
        <f t="shared" si="26"/>
        <v>-</v>
      </c>
      <c r="K181" s="113">
        <f t="shared" si="27"/>
        <v>0</v>
      </c>
      <c r="L181" s="114" t="str">
        <f t="shared" si="32"/>
        <v/>
      </c>
      <c r="V181" s="117" t="str">
        <f t="shared" si="24"/>
        <v xml:space="preserve">   </v>
      </c>
    </row>
    <row r="182" spans="5:22">
      <c r="E182" s="118" t="s">
        <v>64</v>
      </c>
      <c r="F182" s="113" t="str">
        <f t="shared" si="31"/>
        <v>-</v>
      </c>
      <c r="G182" s="114" t="str">
        <f t="shared" si="29"/>
        <v/>
      </c>
      <c r="H182" s="114" t="str">
        <f t="shared" si="30"/>
        <v/>
      </c>
      <c r="J182" s="113" t="str">
        <f t="shared" si="26"/>
        <v>-</v>
      </c>
      <c r="K182" s="113">
        <f t="shared" si="27"/>
        <v>0</v>
      </c>
      <c r="L182" s="114" t="str">
        <f t="shared" si="32"/>
        <v/>
      </c>
      <c r="V182" s="117" t="str">
        <f t="shared" si="24"/>
        <v xml:space="preserve">   </v>
      </c>
    </row>
    <row r="183" spans="5:22">
      <c r="E183" s="118" t="s">
        <v>64</v>
      </c>
      <c r="F183" s="113" t="str">
        <f t="shared" si="31"/>
        <v>-</v>
      </c>
      <c r="G183" s="114" t="str">
        <f t="shared" si="29"/>
        <v/>
      </c>
      <c r="H183" s="114" t="str">
        <f t="shared" si="30"/>
        <v/>
      </c>
      <c r="J183" s="113" t="str">
        <f t="shared" si="26"/>
        <v>-</v>
      </c>
      <c r="K183" s="113">
        <f t="shared" si="27"/>
        <v>0</v>
      </c>
      <c r="L183" s="114" t="str">
        <f t="shared" si="32"/>
        <v/>
      </c>
      <c r="V183" s="117" t="str">
        <f t="shared" si="24"/>
        <v xml:space="preserve">   </v>
      </c>
    </row>
    <row r="184" spans="5:22">
      <c r="E184" s="118" t="s">
        <v>64</v>
      </c>
      <c r="F184" s="113" t="str">
        <f t="shared" si="31"/>
        <v>-</v>
      </c>
      <c r="G184" s="114" t="str">
        <f t="shared" si="29"/>
        <v/>
      </c>
      <c r="H184" s="114" t="str">
        <f t="shared" si="30"/>
        <v/>
      </c>
      <c r="J184" s="113" t="str">
        <f t="shared" si="26"/>
        <v>-</v>
      </c>
      <c r="K184" s="113">
        <f t="shared" si="27"/>
        <v>0</v>
      </c>
      <c r="L184" s="114" t="str">
        <f t="shared" si="32"/>
        <v/>
      </c>
      <c r="V184" s="117" t="str">
        <f t="shared" si="24"/>
        <v xml:space="preserve">   </v>
      </c>
    </row>
    <row r="185" spans="5:22">
      <c r="E185" s="118" t="s">
        <v>64</v>
      </c>
      <c r="F185" s="113" t="str">
        <f t="shared" si="31"/>
        <v>-</v>
      </c>
      <c r="G185" s="114" t="str">
        <f t="shared" si="29"/>
        <v/>
      </c>
      <c r="H185" s="114" t="str">
        <f t="shared" si="30"/>
        <v/>
      </c>
      <c r="J185" s="113" t="str">
        <f t="shared" si="26"/>
        <v>-</v>
      </c>
      <c r="K185" s="113">
        <f t="shared" si="27"/>
        <v>0</v>
      </c>
      <c r="L185" s="114" t="str">
        <f t="shared" si="32"/>
        <v/>
      </c>
      <c r="V185" s="117" t="str">
        <f t="shared" si="24"/>
        <v xml:space="preserve">   </v>
      </c>
    </row>
    <row r="186" spans="5:22">
      <c r="E186" s="118" t="s">
        <v>64</v>
      </c>
      <c r="F186" s="113" t="str">
        <f t="shared" si="31"/>
        <v>-</v>
      </c>
      <c r="G186" s="114" t="str">
        <f t="shared" si="29"/>
        <v/>
      </c>
      <c r="H186" s="114" t="str">
        <f t="shared" si="30"/>
        <v/>
      </c>
      <c r="J186" s="113" t="str">
        <f t="shared" si="26"/>
        <v>-</v>
      </c>
      <c r="K186" s="113">
        <f t="shared" si="27"/>
        <v>0</v>
      </c>
      <c r="L186" s="114" t="str">
        <f t="shared" si="32"/>
        <v/>
      </c>
      <c r="V186" s="117" t="str">
        <f t="shared" si="24"/>
        <v xml:space="preserve">   </v>
      </c>
    </row>
    <row r="187" spans="5:22">
      <c r="E187" s="118" t="s">
        <v>64</v>
      </c>
      <c r="F187" s="113" t="str">
        <f t="shared" si="31"/>
        <v>-</v>
      </c>
      <c r="G187" s="114" t="str">
        <f t="shared" si="29"/>
        <v/>
      </c>
      <c r="H187" s="114" t="str">
        <f t="shared" si="30"/>
        <v/>
      </c>
      <c r="J187" s="113" t="str">
        <f t="shared" si="26"/>
        <v>-</v>
      </c>
      <c r="K187" s="113">
        <f t="shared" si="27"/>
        <v>0</v>
      </c>
      <c r="L187" s="114" t="str">
        <f t="shared" si="32"/>
        <v/>
      </c>
      <c r="V187" s="117" t="str">
        <f t="shared" si="24"/>
        <v xml:space="preserve">   </v>
      </c>
    </row>
    <row r="188" spans="5:22">
      <c r="E188" s="118" t="s">
        <v>64</v>
      </c>
      <c r="F188" s="113" t="str">
        <f t="shared" si="31"/>
        <v>-</v>
      </c>
      <c r="G188" s="114" t="str">
        <f t="shared" si="29"/>
        <v/>
      </c>
      <c r="H188" s="114" t="str">
        <f t="shared" si="30"/>
        <v/>
      </c>
      <c r="J188" s="113" t="str">
        <f t="shared" si="26"/>
        <v>-</v>
      </c>
      <c r="K188" s="113">
        <f t="shared" si="27"/>
        <v>0</v>
      </c>
      <c r="L188" s="114" t="str">
        <f t="shared" si="32"/>
        <v/>
      </c>
      <c r="V188" s="117" t="str">
        <f t="shared" si="24"/>
        <v xml:space="preserve">   </v>
      </c>
    </row>
    <row r="189" spans="5:22">
      <c r="E189" s="118" t="s">
        <v>64</v>
      </c>
      <c r="F189" s="113" t="str">
        <f t="shared" si="31"/>
        <v>-</v>
      </c>
      <c r="G189" s="114" t="str">
        <f t="shared" si="29"/>
        <v/>
      </c>
      <c r="H189" s="114" t="str">
        <f t="shared" si="30"/>
        <v/>
      </c>
      <c r="J189" s="113" t="str">
        <f t="shared" si="26"/>
        <v>-</v>
      </c>
      <c r="K189" s="113">
        <f t="shared" si="27"/>
        <v>0</v>
      </c>
      <c r="L189" s="114" t="str">
        <f t="shared" si="32"/>
        <v/>
      </c>
      <c r="V189" s="117" t="str">
        <f t="shared" si="24"/>
        <v xml:space="preserve">   </v>
      </c>
    </row>
    <row r="190" spans="5:22">
      <c r="E190" s="118" t="s">
        <v>64</v>
      </c>
      <c r="F190" s="113" t="str">
        <f t="shared" si="31"/>
        <v>-</v>
      </c>
      <c r="G190" s="114" t="str">
        <f t="shared" si="29"/>
        <v/>
      </c>
      <c r="H190" s="114" t="str">
        <f t="shared" si="30"/>
        <v/>
      </c>
      <c r="J190" s="113" t="str">
        <f t="shared" si="26"/>
        <v>-</v>
      </c>
      <c r="K190" s="113">
        <f t="shared" si="27"/>
        <v>0</v>
      </c>
      <c r="L190" s="114" t="str">
        <f t="shared" si="32"/>
        <v/>
      </c>
      <c r="V190" s="117" t="str">
        <f t="shared" si="24"/>
        <v xml:space="preserve">   </v>
      </c>
    </row>
    <row r="191" spans="5:22">
      <c r="E191" s="118" t="s">
        <v>64</v>
      </c>
      <c r="F191" s="113" t="str">
        <f t="shared" si="31"/>
        <v>-</v>
      </c>
      <c r="G191" s="114" t="str">
        <f t="shared" si="29"/>
        <v/>
      </c>
      <c r="H191" s="114" t="str">
        <f t="shared" si="30"/>
        <v/>
      </c>
      <c r="J191" s="113" t="str">
        <f t="shared" si="26"/>
        <v>-</v>
      </c>
      <c r="K191" s="113">
        <f t="shared" si="27"/>
        <v>0</v>
      </c>
      <c r="L191" s="114" t="str">
        <f t="shared" si="32"/>
        <v/>
      </c>
      <c r="V191" s="117" t="str">
        <f t="shared" si="24"/>
        <v xml:space="preserve">   </v>
      </c>
    </row>
    <row r="192" spans="5:22">
      <c r="E192" s="118" t="s">
        <v>64</v>
      </c>
      <c r="F192" s="113" t="str">
        <f t="shared" si="31"/>
        <v>-</v>
      </c>
      <c r="G192" s="114" t="str">
        <f t="shared" si="29"/>
        <v/>
      </c>
      <c r="H192" s="114" t="str">
        <f t="shared" si="30"/>
        <v/>
      </c>
      <c r="J192" s="113" t="str">
        <f t="shared" si="26"/>
        <v>-</v>
      </c>
      <c r="K192" s="113">
        <f t="shared" si="27"/>
        <v>0</v>
      </c>
      <c r="L192" s="114" t="str">
        <f t="shared" si="32"/>
        <v/>
      </c>
      <c r="V192" s="117" t="str">
        <f t="shared" si="24"/>
        <v xml:space="preserve">   </v>
      </c>
    </row>
    <row r="193" spans="5:22">
      <c r="E193" s="118" t="s">
        <v>64</v>
      </c>
      <c r="F193" s="113" t="str">
        <f t="shared" si="31"/>
        <v>-</v>
      </c>
      <c r="G193" s="114" t="str">
        <f t="shared" si="29"/>
        <v/>
      </c>
      <c r="H193" s="114" t="str">
        <f t="shared" si="30"/>
        <v/>
      </c>
      <c r="J193" s="113" t="str">
        <f t="shared" si="26"/>
        <v>-</v>
      </c>
      <c r="K193" s="113">
        <f t="shared" si="27"/>
        <v>0</v>
      </c>
      <c r="L193" s="114" t="str">
        <f t="shared" si="32"/>
        <v/>
      </c>
      <c r="V193" s="117" t="str">
        <f t="shared" si="24"/>
        <v xml:space="preserve">   </v>
      </c>
    </row>
    <row r="194" spans="5:22">
      <c r="E194" s="118" t="s">
        <v>64</v>
      </c>
      <c r="F194" s="113" t="str">
        <f t="shared" si="31"/>
        <v>-</v>
      </c>
      <c r="G194" s="114" t="str">
        <f t="shared" si="29"/>
        <v/>
      </c>
      <c r="H194" s="114" t="str">
        <f t="shared" si="30"/>
        <v/>
      </c>
      <c r="J194" s="113" t="str">
        <f t="shared" si="26"/>
        <v>-</v>
      </c>
      <c r="K194" s="113">
        <f t="shared" si="27"/>
        <v>0</v>
      </c>
      <c r="L194" s="114" t="str">
        <f t="shared" si="32"/>
        <v/>
      </c>
      <c r="V194" s="117" t="str">
        <f t="shared" si="24"/>
        <v xml:space="preserve">   </v>
      </c>
    </row>
    <row r="195" spans="5:22">
      <c r="E195" s="118" t="s">
        <v>64</v>
      </c>
      <c r="F195" s="113" t="str">
        <f t="shared" si="31"/>
        <v>-</v>
      </c>
      <c r="G195" s="114" t="str">
        <f t="shared" si="29"/>
        <v/>
      </c>
      <c r="H195" s="114" t="str">
        <f t="shared" si="30"/>
        <v/>
      </c>
      <c r="J195" s="113" t="str">
        <f t="shared" si="26"/>
        <v>-</v>
      </c>
      <c r="K195" s="113">
        <f t="shared" si="27"/>
        <v>0</v>
      </c>
      <c r="L195" s="114" t="str">
        <f t="shared" si="32"/>
        <v/>
      </c>
      <c r="V195" s="117" t="str">
        <f t="shared" si="24"/>
        <v xml:space="preserve">   </v>
      </c>
    </row>
    <row r="196" spans="5:22">
      <c r="E196" s="118" t="s">
        <v>64</v>
      </c>
      <c r="F196" s="113" t="str">
        <f t="shared" si="31"/>
        <v>-</v>
      </c>
      <c r="G196" s="114" t="str">
        <f t="shared" si="29"/>
        <v/>
      </c>
      <c r="H196" s="114" t="str">
        <f t="shared" si="30"/>
        <v/>
      </c>
      <c r="J196" s="113" t="str">
        <f t="shared" si="26"/>
        <v>-</v>
      </c>
      <c r="K196" s="113">
        <f t="shared" si="27"/>
        <v>0</v>
      </c>
      <c r="L196" s="114" t="str">
        <f t="shared" si="32"/>
        <v/>
      </c>
      <c r="V196" s="117" t="str">
        <f t="shared" si="24"/>
        <v xml:space="preserve">   </v>
      </c>
    </row>
    <row r="197" spans="5:22">
      <c r="E197" s="118" t="s">
        <v>64</v>
      </c>
      <c r="F197" s="113" t="str">
        <f t="shared" si="31"/>
        <v>-</v>
      </c>
      <c r="G197" s="114" t="str">
        <f t="shared" si="29"/>
        <v/>
      </c>
      <c r="H197" s="114" t="str">
        <f t="shared" si="30"/>
        <v/>
      </c>
      <c r="J197" s="113" t="str">
        <f t="shared" si="26"/>
        <v>-</v>
      </c>
      <c r="K197" s="113">
        <f t="shared" si="27"/>
        <v>0</v>
      </c>
      <c r="L197" s="114" t="str">
        <f t="shared" si="32"/>
        <v/>
      </c>
      <c r="V197" s="117" t="str">
        <f t="shared" si="24"/>
        <v xml:space="preserve">   </v>
      </c>
    </row>
    <row r="198" spans="5:22">
      <c r="E198" s="118" t="s">
        <v>64</v>
      </c>
      <c r="F198" s="113" t="str">
        <f t="shared" si="31"/>
        <v>-</v>
      </c>
      <c r="G198" s="114" t="str">
        <f t="shared" si="29"/>
        <v/>
      </c>
      <c r="H198" s="114" t="str">
        <f t="shared" si="30"/>
        <v/>
      </c>
      <c r="J198" s="113" t="str">
        <f t="shared" si="26"/>
        <v>-</v>
      </c>
      <c r="K198" s="113">
        <f t="shared" si="27"/>
        <v>0</v>
      </c>
      <c r="L198" s="114" t="str">
        <f t="shared" si="32"/>
        <v/>
      </c>
      <c r="V198" s="117" t="str">
        <f t="shared" ref="V198:V261" si="33">CONCATENATE(A198," ",B198," ",C198," ",D198)</f>
        <v xml:space="preserve">   </v>
      </c>
    </row>
    <row r="199" spans="5:22">
      <c r="E199" s="118" t="s">
        <v>64</v>
      </c>
      <c r="F199" s="113" t="str">
        <f t="shared" si="31"/>
        <v>-</v>
      </c>
      <c r="G199" s="114" t="str">
        <f t="shared" si="29"/>
        <v/>
      </c>
      <c r="H199" s="114" t="str">
        <f t="shared" si="30"/>
        <v/>
      </c>
      <c r="J199" s="113" t="str">
        <f t="shared" si="26"/>
        <v>-</v>
      </c>
      <c r="K199" s="113">
        <f t="shared" si="27"/>
        <v>0</v>
      </c>
      <c r="L199" s="114" t="str">
        <f t="shared" si="32"/>
        <v/>
      </c>
      <c r="V199" s="117" t="str">
        <f t="shared" si="33"/>
        <v xml:space="preserve">   </v>
      </c>
    </row>
    <row r="200" spans="5:22">
      <c r="E200" s="118" t="s">
        <v>64</v>
      </c>
      <c r="F200" s="113" t="str">
        <f t="shared" si="31"/>
        <v>-</v>
      </c>
      <c r="G200" s="114" t="str">
        <f t="shared" si="29"/>
        <v/>
      </c>
      <c r="H200" s="114" t="str">
        <f t="shared" si="30"/>
        <v/>
      </c>
      <c r="J200" s="113" t="str">
        <f t="shared" si="26"/>
        <v>-</v>
      </c>
      <c r="K200" s="113">
        <f t="shared" si="27"/>
        <v>0</v>
      </c>
      <c r="L200" s="114" t="str">
        <f t="shared" si="32"/>
        <v/>
      </c>
      <c r="V200" s="117" t="str">
        <f t="shared" si="33"/>
        <v xml:space="preserve">   </v>
      </c>
    </row>
    <row r="201" spans="5:22">
      <c r="E201" s="118" t="s">
        <v>64</v>
      </c>
      <c r="F201" s="113" t="str">
        <f t="shared" ref="F201:F264" si="34">IFERROR(INDEX(A201,MATCH(E201&amp;"*",A201,)),"-")</f>
        <v>-</v>
      </c>
      <c r="G201" s="114" t="str">
        <f t="shared" ref="G201:G264" si="35">IF(F201="-","",LEFT(F201,6))</f>
        <v/>
      </c>
      <c r="H201" s="114" t="str">
        <f t="shared" ref="H201:H264" si="36">MID(F201,8,50)</f>
        <v/>
      </c>
      <c r="J201" s="113" t="str">
        <f t="shared" ref="J201:J264" si="37">IF(F201="-","-",LEFT(F201,6))</f>
        <v>-</v>
      </c>
      <c r="K201" s="113">
        <f t="shared" ref="K201:K264" si="38">I201</f>
        <v>0</v>
      </c>
      <c r="L201" s="114" t="str">
        <f t="shared" ref="L201:L264" si="39">IF(F201="-","",B201)</f>
        <v/>
      </c>
      <c r="V201" s="117" t="str">
        <f t="shared" si="33"/>
        <v xml:space="preserve">   </v>
      </c>
    </row>
    <row r="202" spans="5:22">
      <c r="E202" s="118" t="s">
        <v>64</v>
      </c>
      <c r="F202" s="113" t="str">
        <f t="shared" si="34"/>
        <v>-</v>
      </c>
      <c r="G202" s="114" t="str">
        <f t="shared" si="35"/>
        <v/>
      </c>
      <c r="H202" s="114" t="str">
        <f t="shared" si="36"/>
        <v/>
      </c>
      <c r="J202" s="113" t="str">
        <f t="shared" si="37"/>
        <v>-</v>
      </c>
      <c r="K202" s="113">
        <f t="shared" si="38"/>
        <v>0</v>
      </c>
      <c r="L202" s="114" t="str">
        <f t="shared" si="39"/>
        <v/>
      </c>
      <c r="V202" s="117" t="str">
        <f t="shared" si="33"/>
        <v xml:space="preserve">   </v>
      </c>
    </row>
    <row r="203" spans="5:22">
      <c r="E203" s="118" t="s">
        <v>64</v>
      </c>
      <c r="F203" s="113" t="str">
        <f t="shared" si="34"/>
        <v>-</v>
      </c>
      <c r="G203" s="114" t="str">
        <f t="shared" si="35"/>
        <v/>
      </c>
      <c r="H203" s="114" t="str">
        <f t="shared" si="36"/>
        <v/>
      </c>
      <c r="J203" s="113" t="str">
        <f t="shared" si="37"/>
        <v>-</v>
      </c>
      <c r="K203" s="113">
        <f t="shared" si="38"/>
        <v>0</v>
      </c>
      <c r="L203" s="114" t="str">
        <f t="shared" si="39"/>
        <v/>
      </c>
      <c r="V203" s="117" t="str">
        <f t="shared" si="33"/>
        <v xml:space="preserve">   </v>
      </c>
    </row>
    <row r="204" spans="5:22">
      <c r="E204" s="118" t="s">
        <v>64</v>
      </c>
      <c r="F204" s="113" t="str">
        <f t="shared" si="34"/>
        <v>-</v>
      </c>
      <c r="G204" s="114" t="str">
        <f t="shared" si="35"/>
        <v/>
      </c>
      <c r="H204" s="114" t="str">
        <f t="shared" si="36"/>
        <v/>
      </c>
      <c r="J204" s="113" t="str">
        <f t="shared" si="37"/>
        <v>-</v>
      </c>
      <c r="K204" s="113">
        <f t="shared" si="38"/>
        <v>0</v>
      </c>
      <c r="L204" s="114" t="str">
        <f t="shared" si="39"/>
        <v/>
      </c>
      <c r="V204" s="117" t="str">
        <f t="shared" si="33"/>
        <v xml:space="preserve">   </v>
      </c>
    </row>
    <row r="205" spans="5:22">
      <c r="E205" s="118" t="s">
        <v>64</v>
      </c>
      <c r="F205" s="113" t="str">
        <f t="shared" si="34"/>
        <v>-</v>
      </c>
      <c r="G205" s="114" t="str">
        <f t="shared" si="35"/>
        <v/>
      </c>
      <c r="H205" s="114" t="str">
        <f t="shared" si="36"/>
        <v/>
      </c>
      <c r="J205" s="113" t="str">
        <f t="shared" si="37"/>
        <v>-</v>
      </c>
      <c r="K205" s="113">
        <f t="shared" si="38"/>
        <v>0</v>
      </c>
      <c r="L205" s="114" t="str">
        <f t="shared" si="39"/>
        <v/>
      </c>
      <c r="V205" s="117" t="str">
        <f t="shared" si="33"/>
        <v xml:space="preserve">   </v>
      </c>
    </row>
    <row r="206" spans="5:22">
      <c r="E206" s="118" t="s">
        <v>64</v>
      </c>
      <c r="F206" s="113" t="str">
        <f t="shared" si="34"/>
        <v>-</v>
      </c>
      <c r="G206" s="114" t="str">
        <f t="shared" si="35"/>
        <v/>
      </c>
      <c r="H206" s="114" t="str">
        <f t="shared" si="36"/>
        <v/>
      </c>
      <c r="J206" s="113" t="str">
        <f t="shared" si="37"/>
        <v>-</v>
      </c>
      <c r="K206" s="113">
        <f t="shared" si="38"/>
        <v>0</v>
      </c>
      <c r="L206" s="114" t="str">
        <f t="shared" si="39"/>
        <v/>
      </c>
      <c r="V206" s="117" t="str">
        <f t="shared" si="33"/>
        <v xml:space="preserve">   </v>
      </c>
    </row>
    <row r="207" spans="5:22">
      <c r="E207" s="118" t="s">
        <v>64</v>
      </c>
      <c r="F207" s="113" t="str">
        <f t="shared" si="34"/>
        <v>-</v>
      </c>
      <c r="G207" s="114" t="str">
        <f t="shared" si="35"/>
        <v/>
      </c>
      <c r="H207" s="114" t="str">
        <f t="shared" si="36"/>
        <v/>
      </c>
      <c r="J207" s="113" t="str">
        <f t="shared" si="37"/>
        <v>-</v>
      </c>
      <c r="K207" s="113">
        <f t="shared" si="38"/>
        <v>0</v>
      </c>
      <c r="L207" s="114" t="str">
        <f t="shared" si="39"/>
        <v/>
      </c>
      <c r="V207" s="117" t="str">
        <f t="shared" si="33"/>
        <v xml:space="preserve">   </v>
      </c>
    </row>
    <row r="208" spans="5:22">
      <c r="E208" s="118" t="s">
        <v>64</v>
      </c>
      <c r="F208" s="113" t="str">
        <f t="shared" si="34"/>
        <v>-</v>
      </c>
      <c r="G208" s="114" t="str">
        <f t="shared" si="35"/>
        <v/>
      </c>
      <c r="H208" s="114" t="str">
        <f t="shared" si="36"/>
        <v/>
      </c>
      <c r="J208" s="113" t="str">
        <f t="shared" si="37"/>
        <v>-</v>
      </c>
      <c r="K208" s="113">
        <f t="shared" si="38"/>
        <v>0</v>
      </c>
      <c r="L208" s="114" t="str">
        <f t="shared" si="39"/>
        <v/>
      </c>
      <c r="V208" s="117" t="str">
        <f t="shared" si="33"/>
        <v xml:space="preserve">   </v>
      </c>
    </row>
    <row r="209" spans="5:22">
      <c r="E209" s="118" t="s">
        <v>64</v>
      </c>
      <c r="F209" s="113" t="str">
        <f t="shared" si="34"/>
        <v>-</v>
      </c>
      <c r="G209" s="114" t="str">
        <f t="shared" si="35"/>
        <v/>
      </c>
      <c r="H209" s="114" t="str">
        <f t="shared" si="36"/>
        <v/>
      </c>
      <c r="J209" s="113" t="str">
        <f t="shared" si="37"/>
        <v>-</v>
      </c>
      <c r="K209" s="113">
        <f t="shared" si="38"/>
        <v>0</v>
      </c>
      <c r="L209" s="114" t="str">
        <f t="shared" si="39"/>
        <v/>
      </c>
      <c r="V209" s="117" t="str">
        <f t="shared" si="33"/>
        <v xml:space="preserve">   </v>
      </c>
    </row>
    <row r="210" spans="5:22">
      <c r="E210" s="118" t="s">
        <v>64</v>
      </c>
      <c r="F210" s="113" t="str">
        <f t="shared" si="34"/>
        <v>-</v>
      </c>
      <c r="G210" s="114" t="str">
        <f t="shared" si="35"/>
        <v/>
      </c>
      <c r="H210" s="114" t="str">
        <f t="shared" si="36"/>
        <v/>
      </c>
      <c r="J210" s="113" t="str">
        <f t="shared" si="37"/>
        <v>-</v>
      </c>
      <c r="K210" s="113">
        <f t="shared" si="38"/>
        <v>0</v>
      </c>
      <c r="L210" s="114" t="str">
        <f t="shared" si="39"/>
        <v/>
      </c>
      <c r="V210" s="117" t="str">
        <f t="shared" si="33"/>
        <v xml:space="preserve">   </v>
      </c>
    </row>
    <row r="211" spans="5:22">
      <c r="E211" s="118" t="s">
        <v>64</v>
      </c>
      <c r="F211" s="113" t="str">
        <f t="shared" si="34"/>
        <v>-</v>
      </c>
      <c r="G211" s="114" t="str">
        <f t="shared" si="35"/>
        <v/>
      </c>
      <c r="H211" s="114" t="str">
        <f t="shared" si="36"/>
        <v/>
      </c>
      <c r="J211" s="113" t="str">
        <f t="shared" si="37"/>
        <v>-</v>
      </c>
      <c r="K211" s="113">
        <f t="shared" si="38"/>
        <v>0</v>
      </c>
      <c r="L211" s="114" t="str">
        <f t="shared" si="39"/>
        <v/>
      </c>
      <c r="V211" s="117" t="str">
        <f t="shared" si="33"/>
        <v xml:space="preserve">   </v>
      </c>
    </row>
    <row r="212" spans="5:22">
      <c r="E212" s="118" t="s">
        <v>64</v>
      </c>
      <c r="F212" s="113" t="str">
        <f t="shared" si="34"/>
        <v>-</v>
      </c>
      <c r="G212" s="114" t="str">
        <f t="shared" si="35"/>
        <v/>
      </c>
      <c r="H212" s="114" t="str">
        <f t="shared" si="36"/>
        <v/>
      </c>
      <c r="J212" s="113" t="str">
        <f t="shared" si="37"/>
        <v>-</v>
      </c>
      <c r="K212" s="113">
        <f t="shared" si="38"/>
        <v>0</v>
      </c>
      <c r="L212" s="114" t="str">
        <f t="shared" si="39"/>
        <v/>
      </c>
      <c r="V212" s="117" t="str">
        <f t="shared" si="33"/>
        <v xml:space="preserve">   </v>
      </c>
    </row>
    <row r="213" spans="5:22">
      <c r="E213" s="118" t="s">
        <v>64</v>
      </c>
      <c r="F213" s="113" t="str">
        <f t="shared" si="34"/>
        <v>-</v>
      </c>
      <c r="G213" s="114" t="str">
        <f t="shared" si="35"/>
        <v/>
      </c>
      <c r="H213" s="114" t="str">
        <f t="shared" si="36"/>
        <v/>
      </c>
      <c r="J213" s="113" t="str">
        <f t="shared" si="37"/>
        <v>-</v>
      </c>
      <c r="K213" s="113">
        <f t="shared" si="38"/>
        <v>0</v>
      </c>
      <c r="L213" s="114" t="str">
        <f t="shared" si="39"/>
        <v/>
      </c>
      <c r="V213" s="117" t="str">
        <f t="shared" si="33"/>
        <v xml:space="preserve">   </v>
      </c>
    </row>
    <row r="214" spans="5:22">
      <c r="E214" s="118" t="s">
        <v>64</v>
      </c>
      <c r="F214" s="113" t="str">
        <f t="shared" si="34"/>
        <v>-</v>
      </c>
      <c r="G214" s="114" t="str">
        <f t="shared" si="35"/>
        <v/>
      </c>
      <c r="H214" s="114" t="str">
        <f t="shared" si="36"/>
        <v/>
      </c>
      <c r="J214" s="113" t="str">
        <f t="shared" si="37"/>
        <v>-</v>
      </c>
      <c r="K214" s="113">
        <f t="shared" si="38"/>
        <v>0</v>
      </c>
      <c r="L214" s="114" t="str">
        <f t="shared" si="39"/>
        <v/>
      </c>
      <c r="V214" s="117" t="str">
        <f t="shared" si="33"/>
        <v xml:space="preserve">   </v>
      </c>
    </row>
    <row r="215" spans="5:22">
      <c r="E215" s="118" t="s">
        <v>64</v>
      </c>
      <c r="F215" s="113" t="str">
        <f t="shared" si="34"/>
        <v>-</v>
      </c>
      <c r="G215" s="114" t="str">
        <f t="shared" si="35"/>
        <v/>
      </c>
      <c r="H215" s="114" t="str">
        <f t="shared" si="36"/>
        <v/>
      </c>
      <c r="J215" s="113" t="str">
        <f t="shared" si="37"/>
        <v>-</v>
      </c>
      <c r="K215" s="113">
        <f t="shared" si="38"/>
        <v>0</v>
      </c>
      <c r="L215" s="114" t="str">
        <f t="shared" si="39"/>
        <v/>
      </c>
      <c r="V215" s="117" t="str">
        <f t="shared" si="33"/>
        <v xml:space="preserve">   </v>
      </c>
    </row>
    <row r="216" spans="5:22">
      <c r="E216" s="118" t="s">
        <v>64</v>
      </c>
      <c r="F216" s="113" t="str">
        <f t="shared" si="34"/>
        <v>-</v>
      </c>
      <c r="G216" s="114" t="str">
        <f t="shared" si="35"/>
        <v/>
      </c>
      <c r="H216" s="114" t="str">
        <f t="shared" si="36"/>
        <v/>
      </c>
      <c r="J216" s="113" t="str">
        <f t="shared" si="37"/>
        <v>-</v>
      </c>
      <c r="K216" s="113">
        <f t="shared" si="38"/>
        <v>0</v>
      </c>
      <c r="L216" s="114" t="str">
        <f t="shared" si="39"/>
        <v/>
      </c>
      <c r="V216" s="117" t="str">
        <f t="shared" si="33"/>
        <v xml:space="preserve">   </v>
      </c>
    </row>
    <row r="217" spans="5:22">
      <c r="E217" s="118" t="s">
        <v>64</v>
      </c>
      <c r="F217" s="113" t="str">
        <f t="shared" si="34"/>
        <v>-</v>
      </c>
      <c r="G217" s="114" t="str">
        <f t="shared" si="35"/>
        <v/>
      </c>
      <c r="H217" s="114" t="str">
        <f t="shared" si="36"/>
        <v/>
      </c>
      <c r="J217" s="113" t="str">
        <f t="shared" si="37"/>
        <v>-</v>
      </c>
      <c r="K217" s="113">
        <f t="shared" si="38"/>
        <v>0</v>
      </c>
      <c r="L217" s="114" t="str">
        <f t="shared" si="39"/>
        <v/>
      </c>
      <c r="V217" s="117" t="str">
        <f t="shared" si="33"/>
        <v xml:space="preserve">   </v>
      </c>
    </row>
    <row r="218" spans="5:22">
      <c r="E218" s="118" t="s">
        <v>64</v>
      </c>
      <c r="F218" s="113" t="str">
        <f t="shared" si="34"/>
        <v>-</v>
      </c>
      <c r="G218" s="114" t="str">
        <f t="shared" si="35"/>
        <v/>
      </c>
      <c r="H218" s="114" t="str">
        <f t="shared" si="36"/>
        <v/>
      </c>
      <c r="J218" s="113" t="str">
        <f t="shared" si="37"/>
        <v>-</v>
      </c>
      <c r="K218" s="113">
        <f t="shared" si="38"/>
        <v>0</v>
      </c>
      <c r="L218" s="114" t="str">
        <f t="shared" si="39"/>
        <v/>
      </c>
      <c r="V218" s="117" t="str">
        <f t="shared" si="33"/>
        <v xml:space="preserve">   </v>
      </c>
    </row>
    <row r="219" spans="5:22">
      <c r="E219" s="118" t="s">
        <v>64</v>
      </c>
      <c r="F219" s="113" t="str">
        <f t="shared" si="34"/>
        <v>-</v>
      </c>
      <c r="G219" s="114" t="str">
        <f t="shared" si="35"/>
        <v/>
      </c>
      <c r="H219" s="114" t="str">
        <f t="shared" si="36"/>
        <v/>
      </c>
      <c r="J219" s="113" t="str">
        <f t="shared" si="37"/>
        <v>-</v>
      </c>
      <c r="K219" s="113">
        <f t="shared" si="38"/>
        <v>0</v>
      </c>
      <c r="L219" s="114" t="str">
        <f t="shared" si="39"/>
        <v/>
      </c>
      <c r="V219" s="117" t="str">
        <f t="shared" si="33"/>
        <v xml:space="preserve">   </v>
      </c>
    </row>
    <row r="220" spans="5:22">
      <c r="E220" s="118" t="s">
        <v>64</v>
      </c>
      <c r="F220" s="113" t="str">
        <f t="shared" si="34"/>
        <v>-</v>
      </c>
      <c r="G220" s="114" t="str">
        <f t="shared" si="35"/>
        <v/>
      </c>
      <c r="H220" s="114" t="str">
        <f t="shared" si="36"/>
        <v/>
      </c>
      <c r="J220" s="113" t="str">
        <f t="shared" si="37"/>
        <v>-</v>
      </c>
      <c r="K220" s="113">
        <f t="shared" si="38"/>
        <v>0</v>
      </c>
      <c r="L220" s="114" t="str">
        <f t="shared" si="39"/>
        <v/>
      </c>
      <c r="V220" s="117" t="str">
        <f t="shared" si="33"/>
        <v xml:space="preserve">   </v>
      </c>
    </row>
    <row r="221" spans="5:22">
      <c r="E221" s="118" t="s">
        <v>64</v>
      </c>
      <c r="F221" s="113" t="str">
        <f t="shared" si="34"/>
        <v>-</v>
      </c>
      <c r="G221" s="114" t="str">
        <f t="shared" si="35"/>
        <v/>
      </c>
      <c r="H221" s="114" t="str">
        <f t="shared" si="36"/>
        <v/>
      </c>
      <c r="J221" s="113" t="str">
        <f t="shared" si="37"/>
        <v>-</v>
      </c>
      <c r="K221" s="113">
        <f t="shared" si="38"/>
        <v>0</v>
      </c>
      <c r="L221" s="114" t="str">
        <f t="shared" si="39"/>
        <v/>
      </c>
      <c r="V221" s="117" t="str">
        <f t="shared" si="33"/>
        <v xml:space="preserve">   </v>
      </c>
    </row>
    <row r="222" spans="5:22">
      <c r="E222" s="118" t="s">
        <v>64</v>
      </c>
      <c r="F222" s="113" t="str">
        <f t="shared" si="34"/>
        <v>-</v>
      </c>
      <c r="G222" s="114" t="str">
        <f t="shared" si="35"/>
        <v/>
      </c>
      <c r="H222" s="114" t="str">
        <f t="shared" si="36"/>
        <v/>
      </c>
      <c r="J222" s="113" t="str">
        <f t="shared" si="37"/>
        <v>-</v>
      </c>
      <c r="K222" s="113">
        <f t="shared" si="38"/>
        <v>0</v>
      </c>
      <c r="L222" s="114" t="str">
        <f t="shared" si="39"/>
        <v/>
      </c>
      <c r="V222" s="117" t="str">
        <f t="shared" si="33"/>
        <v xml:space="preserve">   </v>
      </c>
    </row>
    <row r="223" spans="5:22">
      <c r="E223" s="118" t="s">
        <v>64</v>
      </c>
      <c r="F223" s="113" t="str">
        <f t="shared" si="34"/>
        <v>-</v>
      </c>
      <c r="G223" s="114" t="str">
        <f t="shared" si="35"/>
        <v/>
      </c>
      <c r="H223" s="114" t="str">
        <f t="shared" si="36"/>
        <v/>
      </c>
      <c r="J223" s="113" t="str">
        <f t="shared" si="37"/>
        <v>-</v>
      </c>
      <c r="K223" s="113">
        <f t="shared" si="38"/>
        <v>0</v>
      </c>
      <c r="L223" s="114" t="str">
        <f t="shared" si="39"/>
        <v/>
      </c>
      <c r="V223" s="117" t="str">
        <f t="shared" si="33"/>
        <v xml:space="preserve">   </v>
      </c>
    </row>
    <row r="224" spans="5:22">
      <c r="E224" s="118" t="s">
        <v>64</v>
      </c>
      <c r="F224" s="113" t="str">
        <f t="shared" si="34"/>
        <v>-</v>
      </c>
      <c r="G224" s="114" t="str">
        <f t="shared" si="35"/>
        <v/>
      </c>
      <c r="H224" s="114" t="str">
        <f t="shared" si="36"/>
        <v/>
      </c>
      <c r="J224" s="113" t="str">
        <f t="shared" si="37"/>
        <v>-</v>
      </c>
      <c r="K224" s="113">
        <f t="shared" si="38"/>
        <v>0</v>
      </c>
      <c r="L224" s="114" t="str">
        <f t="shared" si="39"/>
        <v/>
      </c>
      <c r="V224" s="117" t="str">
        <f t="shared" si="33"/>
        <v xml:space="preserve">   </v>
      </c>
    </row>
    <row r="225" spans="5:22">
      <c r="E225" s="118" t="s">
        <v>64</v>
      </c>
      <c r="F225" s="113" t="str">
        <f t="shared" si="34"/>
        <v>-</v>
      </c>
      <c r="G225" s="114" t="str">
        <f t="shared" si="35"/>
        <v/>
      </c>
      <c r="H225" s="114" t="str">
        <f t="shared" si="36"/>
        <v/>
      </c>
      <c r="J225" s="113" t="str">
        <f t="shared" si="37"/>
        <v>-</v>
      </c>
      <c r="K225" s="113">
        <f t="shared" si="38"/>
        <v>0</v>
      </c>
      <c r="L225" s="114" t="str">
        <f t="shared" si="39"/>
        <v/>
      </c>
      <c r="V225" s="117" t="str">
        <f t="shared" si="33"/>
        <v xml:space="preserve">   </v>
      </c>
    </row>
    <row r="226" spans="5:22">
      <c r="E226" s="118" t="s">
        <v>64</v>
      </c>
      <c r="F226" s="113" t="str">
        <f t="shared" si="34"/>
        <v>-</v>
      </c>
      <c r="G226" s="114" t="str">
        <f t="shared" si="35"/>
        <v/>
      </c>
      <c r="H226" s="114" t="str">
        <f t="shared" si="36"/>
        <v/>
      </c>
      <c r="J226" s="113" t="str">
        <f t="shared" si="37"/>
        <v>-</v>
      </c>
      <c r="K226" s="113">
        <f t="shared" si="38"/>
        <v>0</v>
      </c>
      <c r="L226" s="114" t="str">
        <f t="shared" si="39"/>
        <v/>
      </c>
      <c r="V226" s="117" t="str">
        <f t="shared" si="33"/>
        <v xml:space="preserve">   </v>
      </c>
    </row>
    <row r="227" spans="5:22">
      <c r="E227" s="118" t="s">
        <v>64</v>
      </c>
      <c r="F227" s="113" t="str">
        <f t="shared" si="34"/>
        <v>-</v>
      </c>
      <c r="G227" s="114" t="str">
        <f t="shared" si="35"/>
        <v/>
      </c>
      <c r="H227" s="114" t="str">
        <f t="shared" si="36"/>
        <v/>
      </c>
      <c r="J227" s="113" t="str">
        <f t="shared" si="37"/>
        <v>-</v>
      </c>
      <c r="K227" s="113">
        <f t="shared" si="38"/>
        <v>0</v>
      </c>
      <c r="L227" s="114" t="str">
        <f t="shared" si="39"/>
        <v/>
      </c>
      <c r="V227" s="117" t="str">
        <f t="shared" si="33"/>
        <v xml:space="preserve">   </v>
      </c>
    </row>
    <row r="228" spans="5:22">
      <c r="E228" s="118" t="s">
        <v>64</v>
      </c>
      <c r="F228" s="113" t="str">
        <f t="shared" si="34"/>
        <v>-</v>
      </c>
      <c r="G228" s="114" t="str">
        <f t="shared" si="35"/>
        <v/>
      </c>
      <c r="H228" s="114" t="str">
        <f t="shared" si="36"/>
        <v/>
      </c>
      <c r="J228" s="113" t="str">
        <f t="shared" si="37"/>
        <v>-</v>
      </c>
      <c r="K228" s="113">
        <f t="shared" si="38"/>
        <v>0</v>
      </c>
      <c r="L228" s="114" t="str">
        <f t="shared" si="39"/>
        <v/>
      </c>
      <c r="V228" s="117" t="str">
        <f t="shared" si="33"/>
        <v xml:space="preserve">   </v>
      </c>
    </row>
    <row r="229" spans="5:22">
      <c r="E229" s="118" t="s">
        <v>64</v>
      </c>
      <c r="F229" s="113" t="str">
        <f t="shared" si="34"/>
        <v>-</v>
      </c>
      <c r="G229" s="114" t="str">
        <f t="shared" si="35"/>
        <v/>
      </c>
      <c r="H229" s="114" t="str">
        <f t="shared" si="36"/>
        <v/>
      </c>
      <c r="J229" s="113" t="str">
        <f t="shared" si="37"/>
        <v>-</v>
      </c>
      <c r="K229" s="113">
        <f t="shared" si="38"/>
        <v>0</v>
      </c>
      <c r="L229" s="114" t="str">
        <f t="shared" si="39"/>
        <v/>
      </c>
      <c r="V229" s="117" t="str">
        <f t="shared" si="33"/>
        <v xml:space="preserve">   </v>
      </c>
    </row>
    <row r="230" spans="5:22">
      <c r="E230" s="118" t="s">
        <v>64</v>
      </c>
      <c r="F230" s="113" t="str">
        <f t="shared" si="34"/>
        <v>-</v>
      </c>
      <c r="G230" s="114" t="str">
        <f t="shared" si="35"/>
        <v/>
      </c>
      <c r="H230" s="114" t="str">
        <f t="shared" si="36"/>
        <v/>
      </c>
      <c r="J230" s="113" t="str">
        <f t="shared" si="37"/>
        <v>-</v>
      </c>
      <c r="K230" s="113">
        <f t="shared" si="38"/>
        <v>0</v>
      </c>
      <c r="L230" s="114" t="str">
        <f t="shared" si="39"/>
        <v/>
      </c>
      <c r="V230" s="117" t="str">
        <f t="shared" si="33"/>
        <v xml:space="preserve">   </v>
      </c>
    </row>
    <row r="231" spans="5:22">
      <c r="E231" s="118" t="s">
        <v>64</v>
      </c>
      <c r="F231" s="113" t="str">
        <f t="shared" si="34"/>
        <v>-</v>
      </c>
      <c r="G231" s="114" t="str">
        <f t="shared" si="35"/>
        <v/>
      </c>
      <c r="H231" s="114" t="str">
        <f t="shared" si="36"/>
        <v/>
      </c>
      <c r="J231" s="113" t="str">
        <f t="shared" si="37"/>
        <v>-</v>
      </c>
      <c r="K231" s="113">
        <f t="shared" si="38"/>
        <v>0</v>
      </c>
      <c r="L231" s="114" t="str">
        <f t="shared" si="39"/>
        <v/>
      </c>
      <c r="V231" s="117" t="str">
        <f t="shared" si="33"/>
        <v xml:space="preserve">   </v>
      </c>
    </row>
    <row r="232" spans="5:22">
      <c r="E232" s="118" t="s">
        <v>64</v>
      </c>
      <c r="F232" s="113" t="str">
        <f t="shared" si="34"/>
        <v>-</v>
      </c>
      <c r="G232" s="114" t="str">
        <f t="shared" si="35"/>
        <v/>
      </c>
      <c r="H232" s="114" t="str">
        <f t="shared" si="36"/>
        <v/>
      </c>
      <c r="J232" s="113" t="str">
        <f t="shared" si="37"/>
        <v>-</v>
      </c>
      <c r="K232" s="113">
        <f t="shared" si="38"/>
        <v>0</v>
      </c>
      <c r="L232" s="114" t="str">
        <f t="shared" si="39"/>
        <v/>
      </c>
      <c r="V232" s="117" t="str">
        <f t="shared" si="33"/>
        <v xml:space="preserve">   </v>
      </c>
    </row>
    <row r="233" spans="5:22">
      <c r="E233" s="118" t="s">
        <v>64</v>
      </c>
      <c r="F233" s="113" t="str">
        <f t="shared" si="34"/>
        <v>-</v>
      </c>
      <c r="G233" s="114" t="str">
        <f t="shared" si="35"/>
        <v/>
      </c>
      <c r="H233" s="114" t="str">
        <f t="shared" si="36"/>
        <v/>
      </c>
      <c r="J233" s="113" t="str">
        <f t="shared" si="37"/>
        <v>-</v>
      </c>
      <c r="K233" s="113">
        <f t="shared" si="38"/>
        <v>0</v>
      </c>
      <c r="L233" s="114" t="str">
        <f t="shared" si="39"/>
        <v/>
      </c>
      <c r="V233" s="117" t="str">
        <f t="shared" si="33"/>
        <v xml:space="preserve">   </v>
      </c>
    </row>
    <row r="234" spans="5:22">
      <c r="E234" s="118" t="s">
        <v>64</v>
      </c>
      <c r="F234" s="113" t="str">
        <f t="shared" si="34"/>
        <v>-</v>
      </c>
      <c r="G234" s="114" t="str">
        <f t="shared" si="35"/>
        <v/>
      </c>
      <c r="H234" s="114" t="str">
        <f t="shared" si="36"/>
        <v/>
      </c>
      <c r="J234" s="113" t="str">
        <f t="shared" si="37"/>
        <v>-</v>
      </c>
      <c r="K234" s="113">
        <f t="shared" si="38"/>
        <v>0</v>
      </c>
      <c r="L234" s="114" t="str">
        <f t="shared" si="39"/>
        <v/>
      </c>
      <c r="V234" s="117" t="str">
        <f t="shared" si="33"/>
        <v xml:space="preserve">   </v>
      </c>
    </row>
    <row r="235" spans="5:22">
      <c r="E235" s="118" t="s">
        <v>64</v>
      </c>
      <c r="F235" s="113" t="str">
        <f t="shared" si="34"/>
        <v>-</v>
      </c>
      <c r="G235" s="114" t="str">
        <f t="shared" si="35"/>
        <v/>
      </c>
      <c r="H235" s="114" t="str">
        <f t="shared" si="36"/>
        <v/>
      </c>
      <c r="J235" s="113" t="str">
        <f t="shared" si="37"/>
        <v>-</v>
      </c>
      <c r="K235" s="113">
        <f t="shared" si="38"/>
        <v>0</v>
      </c>
      <c r="L235" s="114" t="str">
        <f t="shared" si="39"/>
        <v/>
      </c>
      <c r="V235" s="117" t="str">
        <f t="shared" si="33"/>
        <v xml:space="preserve">   </v>
      </c>
    </row>
    <row r="236" spans="5:22">
      <c r="E236" s="118" t="s">
        <v>64</v>
      </c>
      <c r="F236" s="113" t="str">
        <f t="shared" si="34"/>
        <v>-</v>
      </c>
      <c r="G236" s="114" t="str">
        <f t="shared" si="35"/>
        <v/>
      </c>
      <c r="H236" s="114" t="str">
        <f t="shared" si="36"/>
        <v/>
      </c>
      <c r="J236" s="113" t="str">
        <f t="shared" si="37"/>
        <v>-</v>
      </c>
      <c r="K236" s="113">
        <f t="shared" si="38"/>
        <v>0</v>
      </c>
      <c r="L236" s="114" t="str">
        <f t="shared" si="39"/>
        <v/>
      </c>
      <c r="V236" s="117" t="str">
        <f t="shared" si="33"/>
        <v xml:space="preserve">   </v>
      </c>
    </row>
    <row r="237" spans="5:22">
      <c r="E237" s="118" t="s">
        <v>64</v>
      </c>
      <c r="F237" s="113" t="str">
        <f t="shared" si="34"/>
        <v>-</v>
      </c>
      <c r="G237" s="114" t="str">
        <f t="shared" si="35"/>
        <v/>
      </c>
      <c r="H237" s="114" t="str">
        <f t="shared" si="36"/>
        <v/>
      </c>
      <c r="J237" s="113" t="str">
        <f t="shared" si="37"/>
        <v>-</v>
      </c>
      <c r="K237" s="113">
        <f t="shared" si="38"/>
        <v>0</v>
      </c>
      <c r="L237" s="114" t="str">
        <f t="shared" si="39"/>
        <v/>
      </c>
      <c r="V237" s="117" t="str">
        <f t="shared" si="33"/>
        <v xml:space="preserve">   </v>
      </c>
    </row>
    <row r="238" spans="5:22">
      <c r="E238" s="118" t="s">
        <v>64</v>
      </c>
      <c r="F238" s="113" t="str">
        <f t="shared" si="34"/>
        <v>-</v>
      </c>
      <c r="G238" s="114" t="str">
        <f t="shared" si="35"/>
        <v/>
      </c>
      <c r="H238" s="114" t="str">
        <f t="shared" si="36"/>
        <v/>
      </c>
      <c r="J238" s="113" t="str">
        <f t="shared" si="37"/>
        <v>-</v>
      </c>
      <c r="K238" s="113">
        <f t="shared" si="38"/>
        <v>0</v>
      </c>
      <c r="L238" s="114" t="str">
        <f t="shared" si="39"/>
        <v/>
      </c>
      <c r="V238" s="117" t="str">
        <f t="shared" si="33"/>
        <v xml:space="preserve">   </v>
      </c>
    </row>
    <row r="239" spans="5:22">
      <c r="E239" s="118" t="s">
        <v>64</v>
      </c>
      <c r="F239" s="113" t="str">
        <f t="shared" si="34"/>
        <v>-</v>
      </c>
      <c r="G239" s="114" t="str">
        <f t="shared" si="35"/>
        <v/>
      </c>
      <c r="H239" s="114" t="str">
        <f t="shared" si="36"/>
        <v/>
      </c>
      <c r="J239" s="113" t="str">
        <f t="shared" si="37"/>
        <v>-</v>
      </c>
      <c r="K239" s="113">
        <f t="shared" si="38"/>
        <v>0</v>
      </c>
      <c r="L239" s="114" t="str">
        <f t="shared" si="39"/>
        <v/>
      </c>
      <c r="V239" s="117" t="str">
        <f t="shared" si="33"/>
        <v xml:space="preserve">   </v>
      </c>
    </row>
    <row r="240" spans="5:22">
      <c r="E240" s="118" t="s">
        <v>64</v>
      </c>
      <c r="F240" s="113" t="str">
        <f t="shared" si="34"/>
        <v>-</v>
      </c>
      <c r="G240" s="114" t="str">
        <f t="shared" si="35"/>
        <v/>
      </c>
      <c r="H240" s="114" t="str">
        <f t="shared" si="36"/>
        <v/>
      </c>
      <c r="J240" s="113" t="str">
        <f t="shared" si="37"/>
        <v>-</v>
      </c>
      <c r="K240" s="113">
        <f t="shared" si="38"/>
        <v>0</v>
      </c>
      <c r="L240" s="114" t="str">
        <f t="shared" si="39"/>
        <v/>
      </c>
      <c r="V240" s="117" t="str">
        <f t="shared" si="33"/>
        <v xml:space="preserve">   </v>
      </c>
    </row>
    <row r="241" spans="5:22">
      <c r="E241" s="118" t="s">
        <v>64</v>
      </c>
      <c r="F241" s="113" t="str">
        <f t="shared" si="34"/>
        <v>-</v>
      </c>
      <c r="G241" s="114" t="str">
        <f t="shared" si="35"/>
        <v/>
      </c>
      <c r="H241" s="114" t="str">
        <f t="shared" si="36"/>
        <v/>
      </c>
      <c r="J241" s="113" t="str">
        <f t="shared" si="37"/>
        <v>-</v>
      </c>
      <c r="K241" s="113">
        <f t="shared" si="38"/>
        <v>0</v>
      </c>
      <c r="L241" s="114" t="str">
        <f t="shared" si="39"/>
        <v/>
      </c>
      <c r="V241" s="117" t="str">
        <f t="shared" si="33"/>
        <v xml:space="preserve">   </v>
      </c>
    </row>
    <row r="242" spans="5:22">
      <c r="E242" s="118" t="s">
        <v>64</v>
      </c>
      <c r="F242" s="113" t="str">
        <f t="shared" si="34"/>
        <v>-</v>
      </c>
      <c r="G242" s="114" t="str">
        <f t="shared" si="35"/>
        <v/>
      </c>
      <c r="H242" s="114" t="str">
        <f t="shared" si="36"/>
        <v/>
      </c>
      <c r="J242" s="113" t="str">
        <f t="shared" si="37"/>
        <v>-</v>
      </c>
      <c r="K242" s="113">
        <f t="shared" si="38"/>
        <v>0</v>
      </c>
      <c r="L242" s="114" t="str">
        <f t="shared" si="39"/>
        <v/>
      </c>
      <c r="V242" s="117" t="str">
        <f t="shared" si="33"/>
        <v xml:space="preserve">   </v>
      </c>
    </row>
    <row r="243" spans="5:22">
      <c r="E243" s="118" t="s">
        <v>64</v>
      </c>
      <c r="F243" s="113" t="str">
        <f t="shared" si="34"/>
        <v>-</v>
      </c>
      <c r="G243" s="114" t="str">
        <f t="shared" si="35"/>
        <v/>
      </c>
      <c r="H243" s="114" t="str">
        <f t="shared" si="36"/>
        <v/>
      </c>
      <c r="J243" s="113" t="str">
        <f t="shared" si="37"/>
        <v>-</v>
      </c>
      <c r="K243" s="113">
        <f t="shared" si="38"/>
        <v>0</v>
      </c>
      <c r="L243" s="114" t="str">
        <f t="shared" si="39"/>
        <v/>
      </c>
      <c r="V243" s="117" t="str">
        <f t="shared" si="33"/>
        <v xml:space="preserve">   </v>
      </c>
    </row>
    <row r="244" spans="5:22">
      <c r="E244" s="118" t="s">
        <v>64</v>
      </c>
      <c r="F244" s="113" t="str">
        <f t="shared" si="34"/>
        <v>-</v>
      </c>
      <c r="G244" s="114" t="str">
        <f t="shared" si="35"/>
        <v/>
      </c>
      <c r="H244" s="114" t="str">
        <f t="shared" si="36"/>
        <v/>
      </c>
      <c r="J244" s="113" t="str">
        <f t="shared" si="37"/>
        <v>-</v>
      </c>
      <c r="K244" s="113">
        <f t="shared" si="38"/>
        <v>0</v>
      </c>
      <c r="L244" s="114" t="str">
        <f t="shared" si="39"/>
        <v/>
      </c>
      <c r="V244" s="117" t="str">
        <f t="shared" si="33"/>
        <v xml:space="preserve">   </v>
      </c>
    </row>
    <row r="245" spans="5:22">
      <c r="E245" s="118" t="s">
        <v>64</v>
      </c>
      <c r="F245" s="113" t="str">
        <f t="shared" si="34"/>
        <v>-</v>
      </c>
      <c r="G245" s="114" t="str">
        <f t="shared" si="35"/>
        <v/>
      </c>
      <c r="H245" s="114" t="str">
        <f t="shared" si="36"/>
        <v/>
      </c>
      <c r="J245" s="113" t="str">
        <f t="shared" si="37"/>
        <v>-</v>
      </c>
      <c r="K245" s="113">
        <f t="shared" si="38"/>
        <v>0</v>
      </c>
      <c r="L245" s="114" t="str">
        <f t="shared" si="39"/>
        <v/>
      </c>
      <c r="V245" s="117" t="str">
        <f t="shared" si="33"/>
        <v xml:space="preserve">   </v>
      </c>
    </row>
    <row r="246" spans="5:22">
      <c r="E246" s="118" t="s">
        <v>64</v>
      </c>
      <c r="F246" s="113" t="str">
        <f t="shared" si="34"/>
        <v>-</v>
      </c>
      <c r="G246" s="114" t="str">
        <f t="shared" si="35"/>
        <v/>
      </c>
      <c r="H246" s="114" t="str">
        <f t="shared" si="36"/>
        <v/>
      </c>
      <c r="J246" s="113" t="str">
        <f t="shared" si="37"/>
        <v>-</v>
      </c>
      <c r="K246" s="113">
        <f t="shared" si="38"/>
        <v>0</v>
      </c>
      <c r="L246" s="114" t="str">
        <f t="shared" si="39"/>
        <v/>
      </c>
      <c r="V246" s="117" t="str">
        <f t="shared" si="33"/>
        <v xml:space="preserve">   </v>
      </c>
    </row>
    <row r="247" spans="5:22">
      <c r="E247" s="118" t="s">
        <v>64</v>
      </c>
      <c r="F247" s="113" t="str">
        <f t="shared" si="34"/>
        <v>-</v>
      </c>
      <c r="G247" s="114" t="str">
        <f t="shared" si="35"/>
        <v/>
      </c>
      <c r="H247" s="114" t="str">
        <f t="shared" si="36"/>
        <v/>
      </c>
      <c r="J247" s="113" t="str">
        <f t="shared" si="37"/>
        <v>-</v>
      </c>
      <c r="K247" s="113">
        <f t="shared" si="38"/>
        <v>0</v>
      </c>
      <c r="L247" s="114" t="str">
        <f t="shared" si="39"/>
        <v/>
      </c>
      <c r="V247" s="117" t="str">
        <f t="shared" si="33"/>
        <v xml:space="preserve">   </v>
      </c>
    </row>
    <row r="248" spans="5:22">
      <c r="E248" s="118" t="s">
        <v>64</v>
      </c>
      <c r="F248" s="113" t="str">
        <f t="shared" si="34"/>
        <v>-</v>
      </c>
      <c r="G248" s="114" t="str">
        <f t="shared" si="35"/>
        <v/>
      </c>
      <c r="H248" s="114" t="str">
        <f t="shared" si="36"/>
        <v/>
      </c>
      <c r="J248" s="113" t="str">
        <f t="shared" si="37"/>
        <v>-</v>
      </c>
      <c r="K248" s="113">
        <f t="shared" si="38"/>
        <v>0</v>
      </c>
      <c r="L248" s="114" t="str">
        <f t="shared" si="39"/>
        <v/>
      </c>
      <c r="V248" s="117" t="str">
        <f t="shared" si="33"/>
        <v xml:space="preserve">   </v>
      </c>
    </row>
    <row r="249" spans="5:22">
      <c r="E249" s="118" t="s">
        <v>64</v>
      </c>
      <c r="F249" s="113" t="str">
        <f t="shared" si="34"/>
        <v>-</v>
      </c>
      <c r="G249" s="114" t="str">
        <f t="shared" si="35"/>
        <v/>
      </c>
      <c r="H249" s="114" t="str">
        <f t="shared" si="36"/>
        <v/>
      </c>
      <c r="J249" s="113" t="str">
        <f t="shared" si="37"/>
        <v>-</v>
      </c>
      <c r="K249" s="113">
        <f t="shared" si="38"/>
        <v>0</v>
      </c>
      <c r="L249" s="114" t="str">
        <f t="shared" si="39"/>
        <v/>
      </c>
      <c r="V249" s="117" t="str">
        <f t="shared" si="33"/>
        <v xml:space="preserve">   </v>
      </c>
    </row>
    <row r="250" spans="5:22">
      <c r="E250" s="118" t="s">
        <v>64</v>
      </c>
      <c r="F250" s="113" t="str">
        <f t="shared" si="34"/>
        <v>-</v>
      </c>
      <c r="G250" s="114" t="str">
        <f t="shared" si="35"/>
        <v/>
      </c>
      <c r="H250" s="114" t="str">
        <f t="shared" si="36"/>
        <v/>
      </c>
      <c r="J250" s="113" t="str">
        <f t="shared" si="37"/>
        <v>-</v>
      </c>
      <c r="K250" s="113">
        <f t="shared" si="38"/>
        <v>0</v>
      </c>
      <c r="L250" s="114" t="str">
        <f t="shared" si="39"/>
        <v/>
      </c>
      <c r="V250" s="117" t="str">
        <f t="shared" si="33"/>
        <v xml:space="preserve">   </v>
      </c>
    </row>
    <row r="251" spans="5:22">
      <c r="E251" s="118" t="s">
        <v>64</v>
      </c>
      <c r="F251" s="113" t="str">
        <f t="shared" si="34"/>
        <v>-</v>
      </c>
      <c r="G251" s="114" t="str">
        <f t="shared" si="35"/>
        <v/>
      </c>
      <c r="H251" s="114" t="str">
        <f t="shared" si="36"/>
        <v/>
      </c>
      <c r="J251" s="113" t="str">
        <f t="shared" si="37"/>
        <v>-</v>
      </c>
      <c r="K251" s="113">
        <f t="shared" si="38"/>
        <v>0</v>
      </c>
      <c r="L251" s="114" t="str">
        <f t="shared" si="39"/>
        <v/>
      </c>
      <c r="V251" s="117" t="str">
        <f t="shared" si="33"/>
        <v xml:space="preserve">   </v>
      </c>
    </row>
    <row r="252" spans="5:22">
      <c r="E252" s="118" t="s">
        <v>64</v>
      </c>
      <c r="F252" s="113" t="str">
        <f t="shared" si="34"/>
        <v>-</v>
      </c>
      <c r="G252" s="114" t="str">
        <f t="shared" si="35"/>
        <v/>
      </c>
      <c r="H252" s="114" t="str">
        <f t="shared" si="36"/>
        <v/>
      </c>
      <c r="J252" s="113" t="str">
        <f t="shared" si="37"/>
        <v>-</v>
      </c>
      <c r="K252" s="113">
        <f t="shared" si="38"/>
        <v>0</v>
      </c>
      <c r="L252" s="114" t="str">
        <f t="shared" si="39"/>
        <v/>
      </c>
      <c r="V252" s="117" t="str">
        <f t="shared" si="33"/>
        <v xml:space="preserve">   </v>
      </c>
    </row>
    <row r="253" spans="5:22">
      <c r="E253" s="118" t="s">
        <v>64</v>
      </c>
      <c r="F253" s="113" t="str">
        <f t="shared" si="34"/>
        <v>-</v>
      </c>
      <c r="G253" s="114" t="str">
        <f t="shared" si="35"/>
        <v/>
      </c>
      <c r="H253" s="114" t="str">
        <f t="shared" si="36"/>
        <v/>
      </c>
      <c r="J253" s="113" t="str">
        <f t="shared" si="37"/>
        <v>-</v>
      </c>
      <c r="K253" s="113">
        <f t="shared" si="38"/>
        <v>0</v>
      </c>
      <c r="L253" s="114" t="str">
        <f t="shared" si="39"/>
        <v/>
      </c>
      <c r="V253" s="117" t="str">
        <f t="shared" si="33"/>
        <v xml:space="preserve">   </v>
      </c>
    </row>
    <row r="254" spans="5:22">
      <c r="E254" s="118" t="s">
        <v>64</v>
      </c>
      <c r="F254" s="113" t="str">
        <f t="shared" si="34"/>
        <v>-</v>
      </c>
      <c r="G254" s="114" t="str">
        <f t="shared" si="35"/>
        <v/>
      </c>
      <c r="H254" s="114" t="str">
        <f t="shared" si="36"/>
        <v/>
      </c>
      <c r="J254" s="113" t="str">
        <f t="shared" si="37"/>
        <v>-</v>
      </c>
      <c r="K254" s="113">
        <f t="shared" si="38"/>
        <v>0</v>
      </c>
      <c r="L254" s="114" t="str">
        <f t="shared" si="39"/>
        <v/>
      </c>
      <c r="V254" s="117" t="str">
        <f t="shared" si="33"/>
        <v xml:space="preserve">   </v>
      </c>
    </row>
    <row r="255" spans="5:22">
      <c r="E255" s="118" t="s">
        <v>64</v>
      </c>
      <c r="F255" s="113" t="str">
        <f t="shared" si="34"/>
        <v>-</v>
      </c>
      <c r="G255" s="114" t="str">
        <f t="shared" si="35"/>
        <v/>
      </c>
      <c r="H255" s="114" t="str">
        <f t="shared" si="36"/>
        <v/>
      </c>
      <c r="J255" s="113" t="str">
        <f t="shared" si="37"/>
        <v>-</v>
      </c>
      <c r="K255" s="113">
        <f t="shared" si="38"/>
        <v>0</v>
      </c>
      <c r="L255" s="114" t="str">
        <f t="shared" si="39"/>
        <v/>
      </c>
      <c r="V255" s="117" t="str">
        <f t="shared" si="33"/>
        <v xml:space="preserve">   </v>
      </c>
    </row>
    <row r="256" spans="5:22">
      <c r="E256" s="118" t="s">
        <v>64</v>
      </c>
      <c r="F256" s="113" t="str">
        <f t="shared" si="34"/>
        <v>-</v>
      </c>
      <c r="G256" s="114" t="str">
        <f t="shared" si="35"/>
        <v/>
      </c>
      <c r="H256" s="114" t="str">
        <f t="shared" si="36"/>
        <v/>
      </c>
      <c r="J256" s="113" t="str">
        <f t="shared" si="37"/>
        <v>-</v>
      </c>
      <c r="K256" s="113">
        <f t="shared" si="38"/>
        <v>0</v>
      </c>
      <c r="L256" s="114" t="str">
        <f t="shared" si="39"/>
        <v/>
      </c>
      <c r="V256" s="117" t="str">
        <f t="shared" si="33"/>
        <v xml:space="preserve">   </v>
      </c>
    </row>
    <row r="257" spans="5:22">
      <c r="E257" s="118" t="s">
        <v>64</v>
      </c>
      <c r="F257" s="113" t="str">
        <f t="shared" si="34"/>
        <v>-</v>
      </c>
      <c r="G257" s="114" t="str">
        <f t="shared" si="35"/>
        <v/>
      </c>
      <c r="H257" s="114" t="str">
        <f t="shared" si="36"/>
        <v/>
      </c>
      <c r="J257" s="113" t="str">
        <f t="shared" si="37"/>
        <v>-</v>
      </c>
      <c r="K257" s="113">
        <f t="shared" si="38"/>
        <v>0</v>
      </c>
      <c r="L257" s="114" t="str">
        <f t="shared" si="39"/>
        <v/>
      </c>
      <c r="V257" s="117" t="str">
        <f t="shared" si="33"/>
        <v xml:space="preserve">   </v>
      </c>
    </row>
    <row r="258" spans="5:22">
      <c r="E258" s="118" t="s">
        <v>64</v>
      </c>
      <c r="F258" s="113" t="str">
        <f t="shared" si="34"/>
        <v>-</v>
      </c>
      <c r="G258" s="114" t="str">
        <f t="shared" si="35"/>
        <v/>
      </c>
      <c r="H258" s="114" t="str">
        <f t="shared" si="36"/>
        <v/>
      </c>
      <c r="J258" s="113" t="str">
        <f t="shared" si="37"/>
        <v>-</v>
      </c>
      <c r="K258" s="113">
        <f t="shared" si="38"/>
        <v>0</v>
      </c>
      <c r="L258" s="114" t="str">
        <f t="shared" si="39"/>
        <v/>
      </c>
      <c r="V258" s="117" t="str">
        <f t="shared" si="33"/>
        <v xml:space="preserve">   </v>
      </c>
    </row>
    <row r="259" spans="5:22">
      <c r="E259" s="118" t="s">
        <v>64</v>
      </c>
      <c r="F259" s="113" t="str">
        <f t="shared" si="34"/>
        <v>-</v>
      </c>
      <c r="G259" s="114" t="str">
        <f t="shared" si="35"/>
        <v/>
      </c>
      <c r="H259" s="114" t="str">
        <f t="shared" si="36"/>
        <v/>
      </c>
      <c r="J259" s="113" t="str">
        <f t="shared" si="37"/>
        <v>-</v>
      </c>
      <c r="K259" s="113">
        <f t="shared" si="38"/>
        <v>0</v>
      </c>
      <c r="L259" s="114" t="str">
        <f t="shared" si="39"/>
        <v/>
      </c>
      <c r="V259" s="117" t="str">
        <f t="shared" si="33"/>
        <v xml:space="preserve">   </v>
      </c>
    </row>
    <row r="260" spans="5:22">
      <c r="E260" s="118" t="s">
        <v>64</v>
      </c>
      <c r="F260" s="113" t="str">
        <f t="shared" si="34"/>
        <v>-</v>
      </c>
      <c r="G260" s="114" t="str">
        <f t="shared" si="35"/>
        <v/>
      </c>
      <c r="H260" s="114" t="str">
        <f t="shared" si="36"/>
        <v/>
      </c>
      <c r="J260" s="113" t="str">
        <f t="shared" si="37"/>
        <v>-</v>
      </c>
      <c r="K260" s="113">
        <f t="shared" si="38"/>
        <v>0</v>
      </c>
      <c r="L260" s="114" t="str">
        <f t="shared" si="39"/>
        <v/>
      </c>
      <c r="V260" s="117" t="str">
        <f t="shared" si="33"/>
        <v xml:space="preserve">   </v>
      </c>
    </row>
    <row r="261" spans="5:22">
      <c r="E261" s="118" t="s">
        <v>64</v>
      </c>
      <c r="F261" s="113" t="str">
        <f t="shared" si="34"/>
        <v>-</v>
      </c>
      <c r="G261" s="114" t="str">
        <f t="shared" si="35"/>
        <v/>
      </c>
      <c r="H261" s="114" t="str">
        <f t="shared" si="36"/>
        <v/>
      </c>
      <c r="J261" s="113" t="str">
        <f t="shared" si="37"/>
        <v>-</v>
      </c>
      <c r="K261" s="113">
        <f t="shared" si="38"/>
        <v>0</v>
      </c>
      <c r="L261" s="114" t="str">
        <f t="shared" si="39"/>
        <v/>
      </c>
      <c r="V261" s="117" t="str">
        <f t="shared" si="33"/>
        <v xml:space="preserve">   </v>
      </c>
    </row>
    <row r="262" spans="5:22">
      <c r="E262" s="118" t="s">
        <v>64</v>
      </c>
      <c r="F262" s="113" t="str">
        <f t="shared" si="34"/>
        <v>-</v>
      </c>
      <c r="G262" s="114" t="str">
        <f t="shared" si="35"/>
        <v/>
      </c>
      <c r="H262" s="114" t="str">
        <f t="shared" si="36"/>
        <v/>
      </c>
      <c r="J262" s="113" t="str">
        <f t="shared" si="37"/>
        <v>-</v>
      </c>
      <c r="K262" s="113">
        <f t="shared" si="38"/>
        <v>0</v>
      </c>
      <c r="L262" s="114" t="str">
        <f t="shared" si="39"/>
        <v/>
      </c>
      <c r="V262" s="117" t="str">
        <f t="shared" ref="V262:V325" si="40">CONCATENATE(A262," ",B262," ",C262," ",D262)</f>
        <v xml:space="preserve">   </v>
      </c>
    </row>
    <row r="263" spans="5:22">
      <c r="E263" s="118" t="s">
        <v>64</v>
      </c>
      <c r="F263" s="113" t="str">
        <f t="shared" si="34"/>
        <v>-</v>
      </c>
      <c r="G263" s="114" t="str">
        <f t="shared" si="35"/>
        <v/>
      </c>
      <c r="H263" s="114" t="str">
        <f t="shared" si="36"/>
        <v/>
      </c>
      <c r="J263" s="113" t="str">
        <f t="shared" si="37"/>
        <v>-</v>
      </c>
      <c r="K263" s="113">
        <f t="shared" si="38"/>
        <v>0</v>
      </c>
      <c r="L263" s="114" t="str">
        <f t="shared" si="39"/>
        <v/>
      </c>
      <c r="V263" s="117" t="str">
        <f t="shared" si="40"/>
        <v xml:space="preserve">   </v>
      </c>
    </row>
    <row r="264" spans="5:22">
      <c r="E264" s="118" t="s">
        <v>64</v>
      </c>
      <c r="F264" s="113" t="str">
        <f t="shared" si="34"/>
        <v>-</v>
      </c>
      <c r="G264" s="114" t="str">
        <f t="shared" si="35"/>
        <v/>
      </c>
      <c r="H264" s="114" t="str">
        <f t="shared" si="36"/>
        <v/>
      </c>
      <c r="J264" s="113" t="str">
        <f t="shared" si="37"/>
        <v>-</v>
      </c>
      <c r="K264" s="113">
        <f t="shared" si="38"/>
        <v>0</v>
      </c>
      <c r="L264" s="114" t="str">
        <f t="shared" si="39"/>
        <v/>
      </c>
      <c r="V264" s="117" t="str">
        <f t="shared" si="40"/>
        <v xml:space="preserve">   </v>
      </c>
    </row>
    <row r="265" spans="5:22">
      <c r="E265" s="118" t="s">
        <v>64</v>
      </c>
      <c r="F265" s="113" t="str">
        <f t="shared" ref="F265:F328" si="41">IFERROR(INDEX(A265,MATCH(E265&amp;"*",A265,)),"-")</f>
        <v>-</v>
      </c>
      <c r="G265" s="114" t="str">
        <f t="shared" ref="G265:G328" si="42">IF(F265="-","",LEFT(F265,6))</f>
        <v/>
      </c>
      <c r="H265" s="114" t="str">
        <f t="shared" ref="H265:H328" si="43">MID(F265,8,50)</f>
        <v/>
      </c>
      <c r="J265" s="113" t="str">
        <f t="shared" ref="J265:J328" si="44">IF(F265="-","-",LEFT(F265,6))</f>
        <v>-</v>
      </c>
      <c r="K265" s="113">
        <f t="shared" ref="K265:K328" si="45">I265</f>
        <v>0</v>
      </c>
      <c r="L265" s="114" t="str">
        <f t="shared" ref="L265:L328" si="46">IF(F265="-","",B265)</f>
        <v/>
      </c>
      <c r="V265" s="117" t="str">
        <f t="shared" si="40"/>
        <v xml:space="preserve">   </v>
      </c>
    </row>
    <row r="266" spans="5:22">
      <c r="E266" s="118" t="s">
        <v>64</v>
      </c>
      <c r="F266" s="113" t="str">
        <f t="shared" si="41"/>
        <v>-</v>
      </c>
      <c r="G266" s="114" t="str">
        <f t="shared" si="42"/>
        <v/>
      </c>
      <c r="H266" s="114" t="str">
        <f t="shared" si="43"/>
        <v/>
      </c>
      <c r="J266" s="113" t="str">
        <f t="shared" si="44"/>
        <v>-</v>
      </c>
      <c r="K266" s="113">
        <f t="shared" si="45"/>
        <v>0</v>
      </c>
      <c r="L266" s="114" t="str">
        <f t="shared" si="46"/>
        <v/>
      </c>
      <c r="V266" s="117" t="str">
        <f t="shared" si="40"/>
        <v xml:space="preserve">   </v>
      </c>
    </row>
    <row r="267" spans="5:22">
      <c r="E267" s="118" t="s">
        <v>64</v>
      </c>
      <c r="F267" s="113" t="str">
        <f t="shared" si="41"/>
        <v>-</v>
      </c>
      <c r="G267" s="114" t="str">
        <f t="shared" si="42"/>
        <v/>
      </c>
      <c r="H267" s="114" t="str">
        <f t="shared" si="43"/>
        <v/>
      </c>
      <c r="J267" s="113" t="str">
        <f t="shared" si="44"/>
        <v>-</v>
      </c>
      <c r="K267" s="113">
        <f t="shared" si="45"/>
        <v>0</v>
      </c>
      <c r="L267" s="114" t="str">
        <f t="shared" si="46"/>
        <v/>
      </c>
      <c r="V267" s="117" t="str">
        <f t="shared" si="40"/>
        <v xml:space="preserve">   </v>
      </c>
    </row>
    <row r="268" spans="5:22">
      <c r="E268" s="118" t="s">
        <v>64</v>
      </c>
      <c r="F268" s="113" t="str">
        <f t="shared" si="41"/>
        <v>-</v>
      </c>
      <c r="G268" s="114" t="str">
        <f t="shared" si="42"/>
        <v/>
      </c>
      <c r="H268" s="114" t="str">
        <f t="shared" si="43"/>
        <v/>
      </c>
      <c r="J268" s="113" t="str">
        <f t="shared" si="44"/>
        <v>-</v>
      </c>
      <c r="K268" s="113">
        <f t="shared" si="45"/>
        <v>0</v>
      </c>
      <c r="L268" s="114" t="str">
        <f t="shared" si="46"/>
        <v/>
      </c>
      <c r="V268" s="117" t="str">
        <f t="shared" si="40"/>
        <v xml:space="preserve">   </v>
      </c>
    </row>
    <row r="269" spans="5:22">
      <c r="E269" s="118" t="s">
        <v>64</v>
      </c>
      <c r="F269" s="113" t="str">
        <f t="shared" si="41"/>
        <v>-</v>
      </c>
      <c r="G269" s="114" t="str">
        <f t="shared" si="42"/>
        <v/>
      </c>
      <c r="H269" s="114" t="str">
        <f t="shared" si="43"/>
        <v/>
      </c>
      <c r="J269" s="113" t="str">
        <f t="shared" si="44"/>
        <v>-</v>
      </c>
      <c r="K269" s="113">
        <f t="shared" si="45"/>
        <v>0</v>
      </c>
      <c r="L269" s="114" t="str">
        <f t="shared" si="46"/>
        <v/>
      </c>
      <c r="V269" s="117" t="str">
        <f t="shared" si="40"/>
        <v xml:space="preserve">   </v>
      </c>
    </row>
    <row r="270" spans="5:22">
      <c r="E270" s="118" t="s">
        <v>64</v>
      </c>
      <c r="F270" s="113" t="str">
        <f t="shared" si="41"/>
        <v>-</v>
      </c>
      <c r="G270" s="114" t="str">
        <f t="shared" si="42"/>
        <v/>
      </c>
      <c r="H270" s="114" t="str">
        <f t="shared" si="43"/>
        <v/>
      </c>
      <c r="J270" s="113" t="str">
        <f t="shared" si="44"/>
        <v>-</v>
      </c>
      <c r="K270" s="113">
        <f t="shared" si="45"/>
        <v>0</v>
      </c>
      <c r="L270" s="114" t="str">
        <f t="shared" si="46"/>
        <v/>
      </c>
      <c r="V270" s="117" t="str">
        <f t="shared" si="40"/>
        <v xml:space="preserve">   </v>
      </c>
    </row>
    <row r="271" spans="5:22">
      <c r="E271" s="118" t="s">
        <v>64</v>
      </c>
      <c r="F271" s="113" t="str">
        <f t="shared" si="41"/>
        <v>-</v>
      </c>
      <c r="G271" s="114" t="str">
        <f t="shared" si="42"/>
        <v/>
      </c>
      <c r="H271" s="114" t="str">
        <f t="shared" si="43"/>
        <v/>
      </c>
      <c r="J271" s="113" t="str">
        <f t="shared" si="44"/>
        <v>-</v>
      </c>
      <c r="K271" s="113">
        <f t="shared" si="45"/>
        <v>0</v>
      </c>
      <c r="L271" s="114" t="str">
        <f t="shared" si="46"/>
        <v/>
      </c>
      <c r="V271" s="117" t="str">
        <f t="shared" si="40"/>
        <v xml:space="preserve">   </v>
      </c>
    </row>
    <row r="272" spans="5:22">
      <c r="E272" s="118" t="s">
        <v>64</v>
      </c>
      <c r="F272" s="113" t="str">
        <f t="shared" si="41"/>
        <v>-</v>
      </c>
      <c r="G272" s="114" t="str">
        <f t="shared" si="42"/>
        <v/>
      </c>
      <c r="H272" s="114" t="str">
        <f t="shared" si="43"/>
        <v/>
      </c>
      <c r="J272" s="113" t="str">
        <f t="shared" si="44"/>
        <v>-</v>
      </c>
      <c r="K272" s="113">
        <f t="shared" si="45"/>
        <v>0</v>
      </c>
      <c r="L272" s="114" t="str">
        <f t="shared" si="46"/>
        <v/>
      </c>
      <c r="V272" s="117" t="str">
        <f t="shared" si="40"/>
        <v xml:space="preserve">   </v>
      </c>
    </row>
    <row r="273" spans="5:22">
      <c r="E273" s="118" t="s">
        <v>64</v>
      </c>
      <c r="F273" s="113" t="str">
        <f t="shared" si="41"/>
        <v>-</v>
      </c>
      <c r="G273" s="114" t="str">
        <f t="shared" si="42"/>
        <v/>
      </c>
      <c r="H273" s="114" t="str">
        <f t="shared" si="43"/>
        <v/>
      </c>
      <c r="J273" s="113" t="str">
        <f t="shared" si="44"/>
        <v>-</v>
      </c>
      <c r="K273" s="113">
        <f t="shared" si="45"/>
        <v>0</v>
      </c>
      <c r="L273" s="114" t="str">
        <f t="shared" si="46"/>
        <v/>
      </c>
      <c r="V273" s="117" t="str">
        <f t="shared" si="40"/>
        <v xml:space="preserve">   </v>
      </c>
    </row>
    <row r="274" spans="5:22">
      <c r="E274" s="118" t="s">
        <v>64</v>
      </c>
      <c r="F274" s="113" t="str">
        <f t="shared" si="41"/>
        <v>-</v>
      </c>
      <c r="G274" s="114" t="str">
        <f t="shared" si="42"/>
        <v/>
      </c>
      <c r="H274" s="114" t="str">
        <f t="shared" si="43"/>
        <v/>
      </c>
      <c r="J274" s="113" t="str">
        <f t="shared" si="44"/>
        <v>-</v>
      </c>
      <c r="K274" s="113">
        <f t="shared" si="45"/>
        <v>0</v>
      </c>
      <c r="L274" s="114" t="str">
        <f t="shared" si="46"/>
        <v/>
      </c>
      <c r="V274" s="117" t="str">
        <f t="shared" si="40"/>
        <v xml:space="preserve">   </v>
      </c>
    </row>
    <row r="275" spans="5:22">
      <c r="E275" s="118" t="s">
        <v>64</v>
      </c>
      <c r="F275" s="113" t="str">
        <f t="shared" si="41"/>
        <v>-</v>
      </c>
      <c r="G275" s="114" t="str">
        <f t="shared" si="42"/>
        <v/>
      </c>
      <c r="H275" s="114" t="str">
        <f t="shared" si="43"/>
        <v/>
      </c>
      <c r="J275" s="113" t="str">
        <f t="shared" si="44"/>
        <v>-</v>
      </c>
      <c r="K275" s="113">
        <f t="shared" si="45"/>
        <v>0</v>
      </c>
      <c r="L275" s="114" t="str">
        <f t="shared" si="46"/>
        <v/>
      </c>
      <c r="V275" s="117" t="str">
        <f t="shared" si="40"/>
        <v xml:space="preserve">   </v>
      </c>
    </row>
    <row r="276" spans="5:22">
      <c r="E276" s="118" t="s">
        <v>64</v>
      </c>
      <c r="F276" s="113" t="str">
        <f t="shared" si="41"/>
        <v>-</v>
      </c>
      <c r="G276" s="114" t="str">
        <f t="shared" si="42"/>
        <v/>
      </c>
      <c r="H276" s="114" t="str">
        <f t="shared" si="43"/>
        <v/>
      </c>
      <c r="J276" s="113" t="str">
        <f t="shared" si="44"/>
        <v>-</v>
      </c>
      <c r="K276" s="113">
        <f t="shared" si="45"/>
        <v>0</v>
      </c>
      <c r="L276" s="114" t="str">
        <f t="shared" si="46"/>
        <v/>
      </c>
      <c r="V276" s="117" t="str">
        <f t="shared" si="40"/>
        <v xml:space="preserve">   </v>
      </c>
    </row>
    <row r="277" spans="5:22">
      <c r="E277" s="118" t="s">
        <v>64</v>
      </c>
      <c r="F277" s="113" t="str">
        <f t="shared" si="41"/>
        <v>-</v>
      </c>
      <c r="G277" s="114" t="str">
        <f t="shared" si="42"/>
        <v/>
      </c>
      <c r="H277" s="114" t="str">
        <f t="shared" si="43"/>
        <v/>
      </c>
      <c r="J277" s="113" t="str">
        <f t="shared" si="44"/>
        <v>-</v>
      </c>
      <c r="K277" s="113">
        <f t="shared" si="45"/>
        <v>0</v>
      </c>
      <c r="L277" s="114" t="str">
        <f t="shared" si="46"/>
        <v/>
      </c>
      <c r="V277" s="117" t="str">
        <f t="shared" si="40"/>
        <v xml:space="preserve">   </v>
      </c>
    </row>
    <row r="278" spans="5:22">
      <c r="E278" s="118" t="s">
        <v>64</v>
      </c>
      <c r="F278" s="113" t="str">
        <f t="shared" si="41"/>
        <v>-</v>
      </c>
      <c r="G278" s="114" t="str">
        <f t="shared" si="42"/>
        <v/>
      </c>
      <c r="H278" s="114" t="str">
        <f t="shared" si="43"/>
        <v/>
      </c>
      <c r="J278" s="113" t="str">
        <f t="shared" si="44"/>
        <v>-</v>
      </c>
      <c r="K278" s="113">
        <f t="shared" si="45"/>
        <v>0</v>
      </c>
      <c r="L278" s="114" t="str">
        <f t="shared" si="46"/>
        <v/>
      </c>
      <c r="V278" s="117" t="str">
        <f t="shared" si="40"/>
        <v xml:space="preserve">   </v>
      </c>
    </row>
    <row r="279" spans="5:22">
      <c r="E279" s="118" t="s">
        <v>64</v>
      </c>
      <c r="F279" s="113" t="str">
        <f t="shared" si="41"/>
        <v>-</v>
      </c>
      <c r="G279" s="114" t="str">
        <f t="shared" si="42"/>
        <v/>
      </c>
      <c r="H279" s="114" t="str">
        <f t="shared" si="43"/>
        <v/>
      </c>
      <c r="J279" s="113" t="str">
        <f t="shared" si="44"/>
        <v>-</v>
      </c>
      <c r="K279" s="113">
        <f t="shared" si="45"/>
        <v>0</v>
      </c>
      <c r="L279" s="114" t="str">
        <f t="shared" si="46"/>
        <v/>
      </c>
      <c r="V279" s="117" t="str">
        <f t="shared" si="40"/>
        <v xml:space="preserve">   </v>
      </c>
    </row>
    <row r="280" spans="5:22">
      <c r="E280" s="118" t="s">
        <v>64</v>
      </c>
      <c r="F280" s="113" t="str">
        <f t="shared" si="41"/>
        <v>-</v>
      </c>
      <c r="G280" s="114" t="str">
        <f t="shared" si="42"/>
        <v/>
      </c>
      <c r="H280" s="114" t="str">
        <f t="shared" si="43"/>
        <v/>
      </c>
      <c r="J280" s="113" t="str">
        <f t="shared" si="44"/>
        <v>-</v>
      </c>
      <c r="K280" s="113">
        <f t="shared" si="45"/>
        <v>0</v>
      </c>
      <c r="L280" s="114" t="str">
        <f t="shared" si="46"/>
        <v/>
      </c>
      <c r="V280" s="117" t="str">
        <f t="shared" si="40"/>
        <v xml:space="preserve">   </v>
      </c>
    </row>
    <row r="281" spans="5:22">
      <c r="E281" s="118" t="s">
        <v>64</v>
      </c>
      <c r="F281" s="113" t="str">
        <f t="shared" si="41"/>
        <v>-</v>
      </c>
      <c r="G281" s="114" t="str">
        <f t="shared" si="42"/>
        <v/>
      </c>
      <c r="H281" s="114" t="str">
        <f t="shared" si="43"/>
        <v/>
      </c>
      <c r="J281" s="113" t="str">
        <f t="shared" si="44"/>
        <v>-</v>
      </c>
      <c r="K281" s="113">
        <f t="shared" si="45"/>
        <v>0</v>
      </c>
      <c r="L281" s="114" t="str">
        <f t="shared" si="46"/>
        <v/>
      </c>
      <c r="V281" s="117" t="str">
        <f t="shared" si="40"/>
        <v xml:space="preserve">   </v>
      </c>
    </row>
    <row r="282" spans="5:22">
      <c r="E282" s="118" t="s">
        <v>64</v>
      </c>
      <c r="F282" s="113" t="str">
        <f t="shared" si="41"/>
        <v>-</v>
      </c>
      <c r="G282" s="114" t="str">
        <f t="shared" si="42"/>
        <v/>
      </c>
      <c r="H282" s="114" t="str">
        <f t="shared" si="43"/>
        <v/>
      </c>
      <c r="J282" s="113" t="str">
        <f t="shared" si="44"/>
        <v>-</v>
      </c>
      <c r="K282" s="113">
        <f t="shared" si="45"/>
        <v>0</v>
      </c>
      <c r="L282" s="114" t="str">
        <f t="shared" si="46"/>
        <v/>
      </c>
      <c r="V282" s="117" t="str">
        <f t="shared" si="40"/>
        <v xml:space="preserve">   </v>
      </c>
    </row>
    <row r="283" spans="5:22">
      <c r="E283" s="118" t="s">
        <v>64</v>
      </c>
      <c r="F283" s="113" t="str">
        <f t="shared" si="41"/>
        <v>-</v>
      </c>
      <c r="G283" s="114" t="str">
        <f t="shared" si="42"/>
        <v/>
      </c>
      <c r="H283" s="114" t="str">
        <f t="shared" si="43"/>
        <v/>
      </c>
      <c r="J283" s="113" t="str">
        <f t="shared" si="44"/>
        <v>-</v>
      </c>
      <c r="K283" s="113">
        <f t="shared" si="45"/>
        <v>0</v>
      </c>
      <c r="L283" s="114" t="str">
        <f t="shared" si="46"/>
        <v/>
      </c>
      <c r="V283" s="117" t="str">
        <f t="shared" si="40"/>
        <v xml:space="preserve">   </v>
      </c>
    </row>
    <row r="284" spans="5:22">
      <c r="E284" s="118" t="s">
        <v>64</v>
      </c>
      <c r="F284" s="113" t="str">
        <f t="shared" si="41"/>
        <v>-</v>
      </c>
      <c r="G284" s="114" t="str">
        <f t="shared" si="42"/>
        <v/>
      </c>
      <c r="H284" s="114" t="str">
        <f t="shared" si="43"/>
        <v/>
      </c>
      <c r="J284" s="113" t="str">
        <f t="shared" si="44"/>
        <v>-</v>
      </c>
      <c r="K284" s="113">
        <f t="shared" si="45"/>
        <v>0</v>
      </c>
      <c r="L284" s="114" t="str">
        <f t="shared" si="46"/>
        <v/>
      </c>
      <c r="V284" s="117" t="str">
        <f t="shared" si="40"/>
        <v xml:space="preserve">   </v>
      </c>
    </row>
    <row r="285" spans="5:22">
      <c r="E285" s="118" t="s">
        <v>64</v>
      </c>
      <c r="F285" s="113" t="str">
        <f t="shared" si="41"/>
        <v>-</v>
      </c>
      <c r="G285" s="114" t="str">
        <f t="shared" si="42"/>
        <v/>
      </c>
      <c r="H285" s="114" t="str">
        <f t="shared" si="43"/>
        <v/>
      </c>
      <c r="J285" s="113" t="str">
        <f t="shared" si="44"/>
        <v>-</v>
      </c>
      <c r="K285" s="113">
        <f t="shared" si="45"/>
        <v>0</v>
      </c>
      <c r="L285" s="114" t="str">
        <f t="shared" si="46"/>
        <v/>
      </c>
      <c r="V285" s="117" t="str">
        <f t="shared" si="40"/>
        <v xml:space="preserve">   </v>
      </c>
    </row>
    <row r="286" spans="5:22">
      <c r="E286" s="118" t="s">
        <v>64</v>
      </c>
      <c r="F286" s="113" t="str">
        <f t="shared" si="41"/>
        <v>-</v>
      </c>
      <c r="G286" s="114" t="str">
        <f t="shared" si="42"/>
        <v/>
      </c>
      <c r="H286" s="114" t="str">
        <f t="shared" si="43"/>
        <v/>
      </c>
      <c r="J286" s="113" t="str">
        <f t="shared" si="44"/>
        <v>-</v>
      </c>
      <c r="K286" s="113">
        <f t="shared" si="45"/>
        <v>0</v>
      </c>
      <c r="L286" s="114" t="str">
        <f t="shared" si="46"/>
        <v/>
      </c>
      <c r="V286" s="117" t="str">
        <f t="shared" si="40"/>
        <v xml:space="preserve">   </v>
      </c>
    </row>
    <row r="287" spans="5:22">
      <c r="E287" s="118" t="s">
        <v>64</v>
      </c>
      <c r="F287" s="113" t="str">
        <f t="shared" si="41"/>
        <v>-</v>
      </c>
      <c r="G287" s="114" t="str">
        <f t="shared" si="42"/>
        <v/>
      </c>
      <c r="H287" s="114" t="str">
        <f t="shared" si="43"/>
        <v/>
      </c>
      <c r="J287" s="113" t="str">
        <f t="shared" si="44"/>
        <v>-</v>
      </c>
      <c r="K287" s="113">
        <f t="shared" si="45"/>
        <v>0</v>
      </c>
      <c r="L287" s="114" t="str">
        <f t="shared" si="46"/>
        <v/>
      </c>
      <c r="V287" s="117" t="str">
        <f t="shared" si="40"/>
        <v xml:space="preserve">   </v>
      </c>
    </row>
    <row r="288" spans="5:22">
      <c r="E288" s="118" t="s">
        <v>64</v>
      </c>
      <c r="F288" s="113" t="str">
        <f t="shared" si="41"/>
        <v>-</v>
      </c>
      <c r="G288" s="114" t="str">
        <f t="shared" si="42"/>
        <v/>
      </c>
      <c r="H288" s="114" t="str">
        <f t="shared" si="43"/>
        <v/>
      </c>
      <c r="J288" s="113" t="str">
        <f t="shared" si="44"/>
        <v>-</v>
      </c>
      <c r="K288" s="113">
        <f t="shared" si="45"/>
        <v>0</v>
      </c>
      <c r="L288" s="114" t="str">
        <f t="shared" si="46"/>
        <v/>
      </c>
      <c r="V288" s="117" t="str">
        <f t="shared" si="40"/>
        <v xml:space="preserve">   </v>
      </c>
    </row>
    <row r="289" spans="5:22">
      <c r="E289" s="118" t="s">
        <v>64</v>
      </c>
      <c r="F289" s="113" t="str">
        <f t="shared" si="41"/>
        <v>-</v>
      </c>
      <c r="G289" s="114" t="str">
        <f t="shared" si="42"/>
        <v/>
      </c>
      <c r="H289" s="114" t="str">
        <f t="shared" si="43"/>
        <v/>
      </c>
      <c r="J289" s="113" t="str">
        <f t="shared" si="44"/>
        <v>-</v>
      </c>
      <c r="K289" s="113">
        <f t="shared" si="45"/>
        <v>0</v>
      </c>
      <c r="L289" s="114" t="str">
        <f t="shared" si="46"/>
        <v/>
      </c>
      <c r="V289" s="117" t="str">
        <f t="shared" si="40"/>
        <v xml:space="preserve">   </v>
      </c>
    </row>
    <row r="290" spans="5:22">
      <c r="E290" s="118" t="s">
        <v>64</v>
      </c>
      <c r="F290" s="113" t="str">
        <f t="shared" si="41"/>
        <v>-</v>
      </c>
      <c r="G290" s="114" t="str">
        <f t="shared" si="42"/>
        <v/>
      </c>
      <c r="H290" s="114" t="str">
        <f t="shared" si="43"/>
        <v/>
      </c>
      <c r="J290" s="113" t="str">
        <f t="shared" si="44"/>
        <v>-</v>
      </c>
      <c r="K290" s="113">
        <f t="shared" si="45"/>
        <v>0</v>
      </c>
      <c r="L290" s="114" t="str">
        <f t="shared" si="46"/>
        <v/>
      </c>
      <c r="V290" s="117" t="str">
        <f t="shared" si="40"/>
        <v xml:space="preserve">   </v>
      </c>
    </row>
    <row r="291" spans="5:22">
      <c r="E291" s="118" t="s">
        <v>64</v>
      </c>
      <c r="F291" s="113" t="str">
        <f t="shared" si="41"/>
        <v>-</v>
      </c>
      <c r="G291" s="114" t="str">
        <f t="shared" si="42"/>
        <v/>
      </c>
      <c r="H291" s="114" t="str">
        <f t="shared" si="43"/>
        <v/>
      </c>
      <c r="J291" s="113" t="str">
        <f t="shared" si="44"/>
        <v>-</v>
      </c>
      <c r="K291" s="113">
        <f t="shared" si="45"/>
        <v>0</v>
      </c>
      <c r="L291" s="114" t="str">
        <f t="shared" si="46"/>
        <v/>
      </c>
      <c r="V291" s="117" t="str">
        <f t="shared" si="40"/>
        <v xml:space="preserve">   </v>
      </c>
    </row>
    <row r="292" spans="5:22">
      <c r="E292" s="118" t="s">
        <v>64</v>
      </c>
      <c r="F292" s="113" t="str">
        <f t="shared" si="41"/>
        <v>-</v>
      </c>
      <c r="G292" s="114" t="str">
        <f t="shared" si="42"/>
        <v/>
      </c>
      <c r="H292" s="114" t="str">
        <f t="shared" si="43"/>
        <v/>
      </c>
      <c r="J292" s="113" t="str">
        <f t="shared" si="44"/>
        <v>-</v>
      </c>
      <c r="K292" s="113">
        <f t="shared" si="45"/>
        <v>0</v>
      </c>
      <c r="L292" s="114" t="str">
        <f t="shared" si="46"/>
        <v/>
      </c>
      <c r="V292" s="117" t="str">
        <f t="shared" si="40"/>
        <v xml:space="preserve">   </v>
      </c>
    </row>
    <row r="293" spans="5:22">
      <c r="E293" s="118" t="s">
        <v>64</v>
      </c>
      <c r="F293" s="113" t="str">
        <f t="shared" si="41"/>
        <v>-</v>
      </c>
      <c r="G293" s="114" t="str">
        <f t="shared" si="42"/>
        <v/>
      </c>
      <c r="H293" s="114" t="str">
        <f t="shared" si="43"/>
        <v/>
      </c>
      <c r="J293" s="113" t="str">
        <f t="shared" si="44"/>
        <v>-</v>
      </c>
      <c r="K293" s="113">
        <f t="shared" si="45"/>
        <v>0</v>
      </c>
      <c r="L293" s="114" t="str">
        <f t="shared" si="46"/>
        <v/>
      </c>
      <c r="V293" s="117" t="str">
        <f t="shared" si="40"/>
        <v xml:space="preserve">   </v>
      </c>
    </row>
    <row r="294" spans="5:22">
      <c r="E294" s="118" t="s">
        <v>64</v>
      </c>
      <c r="F294" s="113" t="str">
        <f t="shared" si="41"/>
        <v>-</v>
      </c>
      <c r="G294" s="114" t="str">
        <f t="shared" si="42"/>
        <v/>
      </c>
      <c r="H294" s="114" t="str">
        <f t="shared" si="43"/>
        <v/>
      </c>
      <c r="J294" s="113" t="str">
        <f t="shared" si="44"/>
        <v>-</v>
      </c>
      <c r="K294" s="113">
        <f t="shared" si="45"/>
        <v>0</v>
      </c>
      <c r="L294" s="114" t="str">
        <f t="shared" si="46"/>
        <v/>
      </c>
      <c r="V294" s="117" t="str">
        <f t="shared" si="40"/>
        <v xml:space="preserve">   </v>
      </c>
    </row>
    <row r="295" spans="5:22">
      <c r="E295" s="118" t="s">
        <v>64</v>
      </c>
      <c r="F295" s="113" t="str">
        <f t="shared" si="41"/>
        <v>-</v>
      </c>
      <c r="G295" s="114" t="str">
        <f t="shared" si="42"/>
        <v/>
      </c>
      <c r="H295" s="114" t="str">
        <f t="shared" si="43"/>
        <v/>
      </c>
      <c r="J295" s="113" t="str">
        <f t="shared" si="44"/>
        <v>-</v>
      </c>
      <c r="K295" s="113">
        <f t="shared" si="45"/>
        <v>0</v>
      </c>
      <c r="L295" s="114" t="str">
        <f t="shared" si="46"/>
        <v/>
      </c>
      <c r="V295" s="117" t="str">
        <f t="shared" si="40"/>
        <v xml:space="preserve">   </v>
      </c>
    </row>
    <row r="296" spans="5:22">
      <c r="E296" s="118" t="s">
        <v>64</v>
      </c>
      <c r="F296" s="113" t="str">
        <f t="shared" si="41"/>
        <v>-</v>
      </c>
      <c r="G296" s="114" t="str">
        <f t="shared" si="42"/>
        <v/>
      </c>
      <c r="H296" s="114" t="str">
        <f t="shared" si="43"/>
        <v/>
      </c>
      <c r="J296" s="113" t="str">
        <f t="shared" si="44"/>
        <v>-</v>
      </c>
      <c r="K296" s="113">
        <f t="shared" si="45"/>
        <v>0</v>
      </c>
      <c r="L296" s="114" t="str">
        <f t="shared" si="46"/>
        <v/>
      </c>
      <c r="V296" s="117" t="str">
        <f t="shared" si="40"/>
        <v xml:space="preserve">   </v>
      </c>
    </row>
    <row r="297" spans="5:22">
      <c r="E297" s="118" t="s">
        <v>64</v>
      </c>
      <c r="F297" s="113" t="str">
        <f t="shared" si="41"/>
        <v>-</v>
      </c>
      <c r="G297" s="114" t="str">
        <f t="shared" si="42"/>
        <v/>
      </c>
      <c r="H297" s="114" t="str">
        <f t="shared" si="43"/>
        <v/>
      </c>
      <c r="J297" s="113" t="str">
        <f t="shared" si="44"/>
        <v>-</v>
      </c>
      <c r="K297" s="113">
        <f t="shared" si="45"/>
        <v>0</v>
      </c>
      <c r="L297" s="114" t="str">
        <f t="shared" si="46"/>
        <v/>
      </c>
      <c r="V297" s="117" t="str">
        <f t="shared" si="40"/>
        <v xml:space="preserve">   </v>
      </c>
    </row>
    <row r="298" spans="5:22">
      <c r="E298" s="118" t="s">
        <v>64</v>
      </c>
      <c r="F298" s="113" t="str">
        <f t="shared" si="41"/>
        <v>-</v>
      </c>
      <c r="G298" s="114" t="str">
        <f t="shared" si="42"/>
        <v/>
      </c>
      <c r="H298" s="114" t="str">
        <f t="shared" si="43"/>
        <v/>
      </c>
      <c r="J298" s="113" t="str">
        <f t="shared" si="44"/>
        <v>-</v>
      </c>
      <c r="K298" s="113">
        <f t="shared" si="45"/>
        <v>0</v>
      </c>
      <c r="L298" s="114" t="str">
        <f t="shared" si="46"/>
        <v/>
      </c>
      <c r="V298" s="117" t="str">
        <f t="shared" si="40"/>
        <v xml:space="preserve">   </v>
      </c>
    </row>
    <row r="299" spans="5:22">
      <c r="E299" s="118" t="s">
        <v>64</v>
      </c>
      <c r="F299" s="113" t="str">
        <f t="shared" si="41"/>
        <v>-</v>
      </c>
      <c r="G299" s="114" t="str">
        <f t="shared" si="42"/>
        <v/>
      </c>
      <c r="H299" s="114" t="str">
        <f t="shared" si="43"/>
        <v/>
      </c>
      <c r="J299" s="113" t="str">
        <f t="shared" si="44"/>
        <v>-</v>
      </c>
      <c r="K299" s="113">
        <f t="shared" si="45"/>
        <v>0</v>
      </c>
      <c r="L299" s="114" t="str">
        <f t="shared" si="46"/>
        <v/>
      </c>
      <c r="V299" s="117" t="str">
        <f t="shared" si="40"/>
        <v xml:space="preserve">   </v>
      </c>
    </row>
    <row r="300" spans="5:22">
      <c r="E300" s="118" t="s">
        <v>64</v>
      </c>
      <c r="F300" s="113" t="str">
        <f t="shared" si="41"/>
        <v>-</v>
      </c>
      <c r="G300" s="114" t="str">
        <f t="shared" si="42"/>
        <v/>
      </c>
      <c r="H300" s="114" t="str">
        <f t="shared" si="43"/>
        <v/>
      </c>
      <c r="J300" s="113" t="str">
        <f t="shared" si="44"/>
        <v>-</v>
      </c>
      <c r="K300" s="113">
        <f t="shared" si="45"/>
        <v>0</v>
      </c>
      <c r="L300" s="114" t="str">
        <f t="shared" si="46"/>
        <v/>
      </c>
      <c r="V300" s="117" t="str">
        <f t="shared" si="40"/>
        <v xml:space="preserve">   </v>
      </c>
    </row>
    <row r="301" spans="5:22">
      <c r="E301" s="118" t="s">
        <v>64</v>
      </c>
      <c r="F301" s="113" t="str">
        <f t="shared" si="41"/>
        <v>-</v>
      </c>
      <c r="G301" s="114" t="str">
        <f t="shared" si="42"/>
        <v/>
      </c>
      <c r="H301" s="114" t="str">
        <f t="shared" si="43"/>
        <v/>
      </c>
      <c r="J301" s="113" t="str">
        <f t="shared" si="44"/>
        <v>-</v>
      </c>
      <c r="K301" s="113">
        <f t="shared" si="45"/>
        <v>0</v>
      </c>
      <c r="L301" s="114" t="str">
        <f t="shared" si="46"/>
        <v/>
      </c>
      <c r="V301" s="117" t="str">
        <f t="shared" si="40"/>
        <v xml:space="preserve">   </v>
      </c>
    </row>
    <row r="302" spans="5:22">
      <c r="E302" s="118" t="s">
        <v>64</v>
      </c>
      <c r="F302" s="113" t="str">
        <f t="shared" si="41"/>
        <v>-</v>
      </c>
      <c r="G302" s="114" t="str">
        <f t="shared" si="42"/>
        <v/>
      </c>
      <c r="H302" s="114" t="str">
        <f t="shared" si="43"/>
        <v/>
      </c>
      <c r="J302" s="113" t="str">
        <f t="shared" si="44"/>
        <v>-</v>
      </c>
      <c r="K302" s="113">
        <f t="shared" si="45"/>
        <v>0</v>
      </c>
      <c r="L302" s="114" t="str">
        <f t="shared" si="46"/>
        <v/>
      </c>
      <c r="V302" s="117" t="str">
        <f t="shared" si="40"/>
        <v xml:space="preserve">   </v>
      </c>
    </row>
    <row r="303" spans="5:22">
      <c r="E303" s="118" t="s">
        <v>64</v>
      </c>
      <c r="F303" s="113" t="str">
        <f t="shared" si="41"/>
        <v>-</v>
      </c>
      <c r="G303" s="114" t="str">
        <f t="shared" si="42"/>
        <v/>
      </c>
      <c r="H303" s="114" t="str">
        <f t="shared" si="43"/>
        <v/>
      </c>
      <c r="J303" s="113" t="str">
        <f t="shared" si="44"/>
        <v>-</v>
      </c>
      <c r="K303" s="113">
        <f t="shared" si="45"/>
        <v>0</v>
      </c>
      <c r="L303" s="114" t="str">
        <f t="shared" si="46"/>
        <v/>
      </c>
      <c r="V303" s="117" t="str">
        <f t="shared" si="40"/>
        <v xml:space="preserve">   </v>
      </c>
    </row>
    <row r="304" spans="5:22">
      <c r="E304" s="118" t="s">
        <v>64</v>
      </c>
      <c r="F304" s="113" t="str">
        <f t="shared" si="41"/>
        <v>-</v>
      </c>
      <c r="G304" s="114" t="str">
        <f t="shared" si="42"/>
        <v/>
      </c>
      <c r="H304" s="114" t="str">
        <f t="shared" si="43"/>
        <v/>
      </c>
      <c r="J304" s="113" t="str">
        <f t="shared" si="44"/>
        <v>-</v>
      </c>
      <c r="K304" s="113">
        <f t="shared" si="45"/>
        <v>0</v>
      </c>
      <c r="L304" s="114" t="str">
        <f t="shared" si="46"/>
        <v/>
      </c>
      <c r="V304" s="117" t="str">
        <f t="shared" si="40"/>
        <v xml:space="preserve">   </v>
      </c>
    </row>
    <row r="305" spans="5:22">
      <c r="E305" s="118" t="s">
        <v>64</v>
      </c>
      <c r="F305" s="113" t="str">
        <f t="shared" si="41"/>
        <v>-</v>
      </c>
      <c r="G305" s="114" t="str">
        <f t="shared" si="42"/>
        <v/>
      </c>
      <c r="H305" s="114" t="str">
        <f t="shared" si="43"/>
        <v/>
      </c>
      <c r="J305" s="113" t="str">
        <f t="shared" si="44"/>
        <v>-</v>
      </c>
      <c r="K305" s="113">
        <f t="shared" si="45"/>
        <v>0</v>
      </c>
      <c r="L305" s="114" t="str">
        <f t="shared" si="46"/>
        <v/>
      </c>
      <c r="V305" s="117" t="str">
        <f t="shared" si="40"/>
        <v xml:space="preserve">   </v>
      </c>
    </row>
    <row r="306" spans="5:22">
      <c r="E306" s="118" t="s">
        <v>64</v>
      </c>
      <c r="F306" s="113" t="str">
        <f t="shared" si="41"/>
        <v>-</v>
      </c>
      <c r="G306" s="114" t="str">
        <f t="shared" si="42"/>
        <v/>
      </c>
      <c r="H306" s="114" t="str">
        <f t="shared" si="43"/>
        <v/>
      </c>
      <c r="J306" s="113" t="str">
        <f t="shared" si="44"/>
        <v>-</v>
      </c>
      <c r="K306" s="113">
        <f t="shared" si="45"/>
        <v>0</v>
      </c>
      <c r="L306" s="114" t="str">
        <f t="shared" si="46"/>
        <v/>
      </c>
      <c r="V306" s="117" t="str">
        <f t="shared" si="40"/>
        <v xml:space="preserve">   </v>
      </c>
    </row>
    <row r="307" spans="5:22">
      <c r="E307" s="118" t="s">
        <v>64</v>
      </c>
      <c r="F307" s="113" t="str">
        <f t="shared" si="41"/>
        <v>-</v>
      </c>
      <c r="G307" s="114" t="str">
        <f t="shared" si="42"/>
        <v/>
      </c>
      <c r="H307" s="114" t="str">
        <f t="shared" si="43"/>
        <v/>
      </c>
      <c r="J307" s="113" t="str">
        <f t="shared" si="44"/>
        <v>-</v>
      </c>
      <c r="K307" s="113">
        <f t="shared" si="45"/>
        <v>0</v>
      </c>
      <c r="L307" s="114" t="str">
        <f t="shared" si="46"/>
        <v/>
      </c>
      <c r="V307" s="117" t="str">
        <f t="shared" si="40"/>
        <v xml:space="preserve">   </v>
      </c>
    </row>
    <row r="308" spans="5:22">
      <c r="E308" s="118" t="s">
        <v>64</v>
      </c>
      <c r="F308" s="113" t="str">
        <f t="shared" si="41"/>
        <v>-</v>
      </c>
      <c r="G308" s="114" t="str">
        <f t="shared" si="42"/>
        <v/>
      </c>
      <c r="H308" s="114" t="str">
        <f t="shared" si="43"/>
        <v/>
      </c>
      <c r="J308" s="113" t="str">
        <f t="shared" si="44"/>
        <v>-</v>
      </c>
      <c r="K308" s="113">
        <f t="shared" si="45"/>
        <v>0</v>
      </c>
      <c r="L308" s="114" t="str">
        <f t="shared" si="46"/>
        <v/>
      </c>
      <c r="V308" s="117" t="str">
        <f t="shared" si="40"/>
        <v xml:space="preserve">   </v>
      </c>
    </row>
    <row r="309" spans="5:22">
      <c r="E309" s="118" t="s">
        <v>64</v>
      </c>
      <c r="F309" s="113" t="str">
        <f t="shared" si="41"/>
        <v>-</v>
      </c>
      <c r="G309" s="114" t="str">
        <f t="shared" si="42"/>
        <v/>
      </c>
      <c r="H309" s="114" t="str">
        <f t="shared" si="43"/>
        <v/>
      </c>
      <c r="J309" s="113" t="str">
        <f t="shared" si="44"/>
        <v>-</v>
      </c>
      <c r="K309" s="113">
        <f t="shared" si="45"/>
        <v>0</v>
      </c>
      <c r="L309" s="114" t="str">
        <f t="shared" si="46"/>
        <v/>
      </c>
      <c r="V309" s="117" t="str">
        <f t="shared" si="40"/>
        <v xml:space="preserve">   </v>
      </c>
    </row>
    <row r="310" spans="5:22">
      <c r="E310" s="118" t="s">
        <v>64</v>
      </c>
      <c r="F310" s="113" t="str">
        <f t="shared" si="41"/>
        <v>-</v>
      </c>
      <c r="G310" s="114" t="str">
        <f t="shared" si="42"/>
        <v/>
      </c>
      <c r="H310" s="114" t="str">
        <f t="shared" si="43"/>
        <v/>
      </c>
      <c r="J310" s="113" t="str">
        <f t="shared" si="44"/>
        <v>-</v>
      </c>
      <c r="K310" s="113">
        <f t="shared" si="45"/>
        <v>0</v>
      </c>
      <c r="L310" s="114" t="str">
        <f t="shared" si="46"/>
        <v/>
      </c>
      <c r="V310" s="117" t="str">
        <f t="shared" si="40"/>
        <v xml:space="preserve">   </v>
      </c>
    </row>
    <row r="311" spans="5:22">
      <c r="E311" s="118" t="s">
        <v>64</v>
      </c>
      <c r="F311" s="113" t="str">
        <f t="shared" si="41"/>
        <v>-</v>
      </c>
      <c r="G311" s="114" t="str">
        <f t="shared" si="42"/>
        <v/>
      </c>
      <c r="H311" s="114" t="str">
        <f t="shared" si="43"/>
        <v/>
      </c>
      <c r="J311" s="113" t="str">
        <f t="shared" si="44"/>
        <v>-</v>
      </c>
      <c r="K311" s="113">
        <f t="shared" si="45"/>
        <v>0</v>
      </c>
      <c r="L311" s="114" t="str">
        <f t="shared" si="46"/>
        <v/>
      </c>
      <c r="V311" s="117" t="str">
        <f t="shared" si="40"/>
        <v xml:space="preserve">   </v>
      </c>
    </row>
    <row r="312" spans="5:22">
      <c r="E312" s="118" t="s">
        <v>64</v>
      </c>
      <c r="F312" s="113" t="str">
        <f t="shared" si="41"/>
        <v>-</v>
      </c>
      <c r="G312" s="114" t="str">
        <f t="shared" si="42"/>
        <v/>
      </c>
      <c r="H312" s="114" t="str">
        <f t="shared" si="43"/>
        <v/>
      </c>
      <c r="J312" s="113" t="str">
        <f t="shared" si="44"/>
        <v>-</v>
      </c>
      <c r="K312" s="113">
        <f t="shared" si="45"/>
        <v>0</v>
      </c>
      <c r="L312" s="114" t="str">
        <f t="shared" si="46"/>
        <v/>
      </c>
      <c r="V312" s="117" t="str">
        <f t="shared" si="40"/>
        <v xml:space="preserve">   </v>
      </c>
    </row>
    <row r="313" spans="5:22">
      <c r="E313" s="118" t="s">
        <v>64</v>
      </c>
      <c r="F313" s="113" t="str">
        <f t="shared" si="41"/>
        <v>-</v>
      </c>
      <c r="G313" s="114" t="str">
        <f t="shared" si="42"/>
        <v/>
      </c>
      <c r="H313" s="114" t="str">
        <f t="shared" si="43"/>
        <v/>
      </c>
      <c r="J313" s="113" t="str">
        <f t="shared" si="44"/>
        <v>-</v>
      </c>
      <c r="K313" s="113">
        <f t="shared" si="45"/>
        <v>0</v>
      </c>
      <c r="L313" s="114" t="str">
        <f t="shared" si="46"/>
        <v/>
      </c>
      <c r="V313" s="117" t="str">
        <f t="shared" si="40"/>
        <v xml:space="preserve">   </v>
      </c>
    </row>
    <row r="314" spans="5:22">
      <c r="E314" s="118" t="s">
        <v>64</v>
      </c>
      <c r="F314" s="113" t="str">
        <f t="shared" si="41"/>
        <v>-</v>
      </c>
      <c r="G314" s="114" t="str">
        <f t="shared" si="42"/>
        <v/>
      </c>
      <c r="H314" s="114" t="str">
        <f t="shared" si="43"/>
        <v/>
      </c>
      <c r="J314" s="113" t="str">
        <f t="shared" si="44"/>
        <v>-</v>
      </c>
      <c r="K314" s="113">
        <f t="shared" si="45"/>
        <v>0</v>
      </c>
      <c r="L314" s="114" t="str">
        <f t="shared" si="46"/>
        <v/>
      </c>
      <c r="V314" s="117" t="str">
        <f t="shared" si="40"/>
        <v xml:space="preserve">   </v>
      </c>
    </row>
    <row r="315" spans="5:22">
      <c r="E315" s="118" t="s">
        <v>64</v>
      </c>
      <c r="F315" s="113" t="str">
        <f t="shared" si="41"/>
        <v>-</v>
      </c>
      <c r="G315" s="114" t="str">
        <f t="shared" si="42"/>
        <v/>
      </c>
      <c r="H315" s="114" t="str">
        <f t="shared" si="43"/>
        <v/>
      </c>
      <c r="J315" s="113" t="str">
        <f t="shared" si="44"/>
        <v>-</v>
      </c>
      <c r="K315" s="113">
        <f t="shared" si="45"/>
        <v>0</v>
      </c>
      <c r="L315" s="114" t="str">
        <f t="shared" si="46"/>
        <v/>
      </c>
      <c r="V315" s="117" t="str">
        <f t="shared" si="40"/>
        <v xml:space="preserve">   </v>
      </c>
    </row>
    <row r="316" spans="5:22">
      <c r="E316" s="118" t="s">
        <v>64</v>
      </c>
      <c r="F316" s="113" t="str">
        <f t="shared" si="41"/>
        <v>-</v>
      </c>
      <c r="G316" s="114" t="str">
        <f t="shared" si="42"/>
        <v/>
      </c>
      <c r="H316" s="114" t="str">
        <f t="shared" si="43"/>
        <v/>
      </c>
      <c r="J316" s="113" t="str">
        <f t="shared" si="44"/>
        <v>-</v>
      </c>
      <c r="K316" s="113">
        <f t="shared" si="45"/>
        <v>0</v>
      </c>
      <c r="L316" s="114" t="str">
        <f t="shared" si="46"/>
        <v/>
      </c>
      <c r="V316" s="117" t="str">
        <f t="shared" si="40"/>
        <v xml:space="preserve">   </v>
      </c>
    </row>
    <row r="317" spans="5:22">
      <c r="E317" s="118" t="s">
        <v>64</v>
      </c>
      <c r="F317" s="113" t="str">
        <f t="shared" si="41"/>
        <v>-</v>
      </c>
      <c r="G317" s="114" t="str">
        <f t="shared" si="42"/>
        <v/>
      </c>
      <c r="H317" s="114" t="str">
        <f t="shared" si="43"/>
        <v/>
      </c>
      <c r="J317" s="113" t="str">
        <f t="shared" si="44"/>
        <v>-</v>
      </c>
      <c r="K317" s="113">
        <f t="shared" si="45"/>
        <v>0</v>
      </c>
      <c r="L317" s="114" t="str">
        <f t="shared" si="46"/>
        <v/>
      </c>
      <c r="V317" s="117" t="str">
        <f t="shared" si="40"/>
        <v xml:space="preserve">   </v>
      </c>
    </row>
    <row r="318" spans="5:22">
      <c r="E318" s="118" t="s">
        <v>64</v>
      </c>
      <c r="F318" s="113" t="str">
        <f t="shared" si="41"/>
        <v>-</v>
      </c>
      <c r="G318" s="114" t="str">
        <f t="shared" si="42"/>
        <v/>
      </c>
      <c r="H318" s="114" t="str">
        <f t="shared" si="43"/>
        <v/>
      </c>
      <c r="J318" s="113" t="str">
        <f t="shared" si="44"/>
        <v>-</v>
      </c>
      <c r="K318" s="113">
        <f t="shared" si="45"/>
        <v>0</v>
      </c>
      <c r="L318" s="114" t="str">
        <f t="shared" si="46"/>
        <v/>
      </c>
      <c r="V318" s="117" t="str">
        <f t="shared" si="40"/>
        <v xml:space="preserve">   </v>
      </c>
    </row>
    <row r="319" spans="5:22">
      <c r="E319" s="118" t="s">
        <v>64</v>
      </c>
      <c r="F319" s="113" t="str">
        <f t="shared" si="41"/>
        <v>-</v>
      </c>
      <c r="G319" s="114" t="str">
        <f t="shared" si="42"/>
        <v/>
      </c>
      <c r="H319" s="114" t="str">
        <f t="shared" si="43"/>
        <v/>
      </c>
      <c r="J319" s="113" t="str">
        <f t="shared" si="44"/>
        <v>-</v>
      </c>
      <c r="K319" s="113">
        <f t="shared" si="45"/>
        <v>0</v>
      </c>
      <c r="L319" s="114" t="str">
        <f t="shared" si="46"/>
        <v/>
      </c>
      <c r="V319" s="117" t="str">
        <f t="shared" si="40"/>
        <v xml:space="preserve">   </v>
      </c>
    </row>
    <row r="320" spans="5:22">
      <c r="E320" s="118" t="s">
        <v>64</v>
      </c>
      <c r="F320" s="113" t="str">
        <f t="shared" si="41"/>
        <v>-</v>
      </c>
      <c r="G320" s="114" t="str">
        <f t="shared" si="42"/>
        <v/>
      </c>
      <c r="H320" s="114" t="str">
        <f t="shared" si="43"/>
        <v/>
      </c>
      <c r="J320" s="113" t="str">
        <f t="shared" si="44"/>
        <v>-</v>
      </c>
      <c r="K320" s="113">
        <f t="shared" si="45"/>
        <v>0</v>
      </c>
      <c r="L320" s="114" t="str">
        <f t="shared" si="46"/>
        <v/>
      </c>
      <c r="V320" s="117" t="str">
        <f t="shared" si="40"/>
        <v xml:space="preserve">   </v>
      </c>
    </row>
    <row r="321" spans="5:22">
      <c r="E321" s="118" t="s">
        <v>64</v>
      </c>
      <c r="F321" s="113" t="str">
        <f t="shared" si="41"/>
        <v>-</v>
      </c>
      <c r="G321" s="114" t="str">
        <f t="shared" si="42"/>
        <v/>
      </c>
      <c r="H321" s="114" t="str">
        <f t="shared" si="43"/>
        <v/>
      </c>
      <c r="J321" s="113" t="str">
        <f t="shared" si="44"/>
        <v>-</v>
      </c>
      <c r="K321" s="113">
        <f t="shared" si="45"/>
        <v>0</v>
      </c>
      <c r="L321" s="114" t="str">
        <f t="shared" si="46"/>
        <v/>
      </c>
      <c r="V321" s="117" t="str">
        <f t="shared" si="40"/>
        <v xml:space="preserve">   </v>
      </c>
    </row>
    <row r="322" spans="5:22">
      <c r="E322" s="118" t="s">
        <v>64</v>
      </c>
      <c r="F322" s="113" t="str">
        <f t="shared" si="41"/>
        <v>-</v>
      </c>
      <c r="G322" s="114" t="str">
        <f t="shared" si="42"/>
        <v/>
      </c>
      <c r="H322" s="114" t="str">
        <f t="shared" si="43"/>
        <v/>
      </c>
      <c r="J322" s="113" t="str">
        <f t="shared" si="44"/>
        <v>-</v>
      </c>
      <c r="K322" s="113">
        <f t="shared" si="45"/>
        <v>0</v>
      </c>
      <c r="L322" s="114" t="str">
        <f t="shared" si="46"/>
        <v/>
      </c>
      <c r="V322" s="117" t="str">
        <f t="shared" si="40"/>
        <v xml:space="preserve">   </v>
      </c>
    </row>
    <row r="323" spans="5:22">
      <c r="E323" s="118" t="s">
        <v>64</v>
      </c>
      <c r="F323" s="113" t="str">
        <f t="shared" si="41"/>
        <v>-</v>
      </c>
      <c r="G323" s="114" t="str">
        <f t="shared" si="42"/>
        <v/>
      </c>
      <c r="H323" s="114" t="str">
        <f t="shared" si="43"/>
        <v/>
      </c>
      <c r="J323" s="113" t="str">
        <f t="shared" si="44"/>
        <v>-</v>
      </c>
      <c r="K323" s="113">
        <f t="shared" si="45"/>
        <v>0</v>
      </c>
      <c r="L323" s="114" t="str">
        <f t="shared" si="46"/>
        <v/>
      </c>
      <c r="V323" s="117" t="str">
        <f t="shared" si="40"/>
        <v xml:space="preserve">   </v>
      </c>
    </row>
    <row r="324" spans="5:22">
      <c r="E324" s="118" t="s">
        <v>64</v>
      </c>
      <c r="F324" s="113" t="str">
        <f t="shared" si="41"/>
        <v>-</v>
      </c>
      <c r="G324" s="114" t="str">
        <f t="shared" si="42"/>
        <v/>
      </c>
      <c r="H324" s="114" t="str">
        <f t="shared" si="43"/>
        <v/>
      </c>
      <c r="J324" s="113" t="str">
        <f t="shared" si="44"/>
        <v>-</v>
      </c>
      <c r="K324" s="113">
        <f t="shared" si="45"/>
        <v>0</v>
      </c>
      <c r="L324" s="114" t="str">
        <f t="shared" si="46"/>
        <v/>
      </c>
      <c r="V324" s="117" t="str">
        <f t="shared" si="40"/>
        <v xml:space="preserve">   </v>
      </c>
    </row>
    <row r="325" spans="5:22">
      <c r="E325" s="118" t="s">
        <v>64</v>
      </c>
      <c r="F325" s="113" t="str">
        <f t="shared" si="41"/>
        <v>-</v>
      </c>
      <c r="G325" s="114" t="str">
        <f t="shared" si="42"/>
        <v/>
      </c>
      <c r="H325" s="114" t="str">
        <f t="shared" si="43"/>
        <v/>
      </c>
      <c r="J325" s="113" t="str">
        <f t="shared" si="44"/>
        <v>-</v>
      </c>
      <c r="K325" s="113">
        <f t="shared" si="45"/>
        <v>0</v>
      </c>
      <c r="L325" s="114" t="str">
        <f t="shared" si="46"/>
        <v/>
      </c>
      <c r="V325" s="117" t="str">
        <f t="shared" si="40"/>
        <v xml:space="preserve">   </v>
      </c>
    </row>
    <row r="326" spans="5:22">
      <c r="E326" s="118" t="s">
        <v>64</v>
      </c>
      <c r="F326" s="113" t="str">
        <f t="shared" si="41"/>
        <v>-</v>
      </c>
      <c r="G326" s="114" t="str">
        <f t="shared" si="42"/>
        <v/>
      </c>
      <c r="H326" s="114" t="str">
        <f t="shared" si="43"/>
        <v/>
      </c>
      <c r="J326" s="113" t="str">
        <f t="shared" si="44"/>
        <v>-</v>
      </c>
      <c r="K326" s="113">
        <f t="shared" si="45"/>
        <v>0</v>
      </c>
      <c r="L326" s="114" t="str">
        <f t="shared" si="46"/>
        <v/>
      </c>
      <c r="V326" s="117" t="str">
        <f t="shared" ref="V326:V389" si="47">CONCATENATE(A326," ",B326," ",C326," ",D326)</f>
        <v xml:space="preserve">   </v>
      </c>
    </row>
    <row r="327" spans="5:22">
      <c r="E327" s="118" t="s">
        <v>64</v>
      </c>
      <c r="F327" s="113" t="str">
        <f t="shared" si="41"/>
        <v>-</v>
      </c>
      <c r="G327" s="114" t="str">
        <f t="shared" si="42"/>
        <v/>
      </c>
      <c r="H327" s="114" t="str">
        <f t="shared" si="43"/>
        <v/>
      </c>
      <c r="J327" s="113" t="str">
        <f t="shared" si="44"/>
        <v>-</v>
      </c>
      <c r="K327" s="113">
        <f t="shared" si="45"/>
        <v>0</v>
      </c>
      <c r="L327" s="114" t="str">
        <f t="shared" si="46"/>
        <v/>
      </c>
      <c r="V327" s="117" t="str">
        <f t="shared" si="47"/>
        <v xml:space="preserve">   </v>
      </c>
    </row>
    <row r="328" spans="5:22">
      <c r="E328" s="118" t="s">
        <v>64</v>
      </c>
      <c r="F328" s="113" t="str">
        <f t="shared" si="41"/>
        <v>-</v>
      </c>
      <c r="G328" s="114" t="str">
        <f t="shared" si="42"/>
        <v/>
      </c>
      <c r="H328" s="114" t="str">
        <f t="shared" si="43"/>
        <v/>
      </c>
      <c r="J328" s="113" t="str">
        <f t="shared" si="44"/>
        <v>-</v>
      </c>
      <c r="K328" s="113">
        <f t="shared" si="45"/>
        <v>0</v>
      </c>
      <c r="L328" s="114" t="str">
        <f t="shared" si="46"/>
        <v/>
      </c>
      <c r="V328" s="117" t="str">
        <f t="shared" si="47"/>
        <v xml:space="preserve">   </v>
      </c>
    </row>
    <row r="329" spans="5:22">
      <c r="E329" s="118" t="s">
        <v>64</v>
      </c>
      <c r="F329" s="113" t="str">
        <f t="shared" ref="F329:F392" si="48">IFERROR(INDEX(A329,MATCH(E329&amp;"*",A329,)),"-")</f>
        <v>-</v>
      </c>
      <c r="G329" s="114" t="str">
        <f t="shared" ref="G329:G392" si="49">IF(F329="-","",LEFT(F329,6))</f>
        <v/>
      </c>
      <c r="H329" s="114" t="str">
        <f t="shared" ref="H329:H392" si="50">MID(F329,8,50)</f>
        <v/>
      </c>
      <c r="J329" s="113" t="str">
        <f t="shared" ref="J329:J392" si="51">IF(F329="-","-",LEFT(F329,6))</f>
        <v>-</v>
      </c>
      <c r="K329" s="113">
        <f t="shared" ref="K329:K392" si="52">I329</f>
        <v>0</v>
      </c>
      <c r="L329" s="114" t="str">
        <f t="shared" ref="L329:L392" si="53">IF(F329="-","",B329)</f>
        <v/>
      </c>
      <c r="V329" s="117" t="str">
        <f t="shared" si="47"/>
        <v xml:space="preserve">   </v>
      </c>
    </row>
    <row r="330" spans="5:22">
      <c r="E330" s="118" t="s">
        <v>64</v>
      </c>
      <c r="F330" s="113" t="str">
        <f t="shared" si="48"/>
        <v>-</v>
      </c>
      <c r="G330" s="114" t="str">
        <f t="shared" si="49"/>
        <v/>
      </c>
      <c r="H330" s="114" t="str">
        <f t="shared" si="50"/>
        <v/>
      </c>
      <c r="J330" s="113" t="str">
        <f t="shared" si="51"/>
        <v>-</v>
      </c>
      <c r="K330" s="113">
        <f t="shared" si="52"/>
        <v>0</v>
      </c>
      <c r="L330" s="114" t="str">
        <f t="shared" si="53"/>
        <v/>
      </c>
      <c r="V330" s="117" t="str">
        <f t="shared" si="47"/>
        <v xml:space="preserve">   </v>
      </c>
    </row>
    <row r="331" spans="5:22">
      <c r="E331" s="118" t="s">
        <v>64</v>
      </c>
      <c r="F331" s="113" t="str">
        <f t="shared" si="48"/>
        <v>-</v>
      </c>
      <c r="G331" s="114" t="str">
        <f t="shared" si="49"/>
        <v/>
      </c>
      <c r="H331" s="114" t="str">
        <f t="shared" si="50"/>
        <v/>
      </c>
      <c r="J331" s="113" t="str">
        <f t="shared" si="51"/>
        <v>-</v>
      </c>
      <c r="K331" s="113">
        <f t="shared" si="52"/>
        <v>0</v>
      </c>
      <c r="L331" s="114" t="str">
        <f t="shared" si="53"/>
        <v/>
      </c>
      <c r="V331" s="117" t="str">
        <f t="shared" si="47"/>
        <v xml:space="preserve">   </v>
      </c>
    </row>
    <row r="332" spans="5:22">
      <c r="E332" s="118" t="s">
        <v>64</v>
      </c>
      <c r="F332" s="113" t="str">
        <f t="shared" si="48"/>
        <v>-</v>
      </c>
      <c r="G332" s="114" t="str">
        <f t="shared" si="49"/>
        <v/>
      </c>
      <c r="H332" s="114" t="str">
        <f t="shared" si="50"/>
        <v/>
      </c>
      <c r="J332" s="113" t="str">
        <f t="shared" si="51"/>
        <v>-</v>
      </c>
      <c r="K332" s="113">
        <f t="shared" si="52"/>
        <v>0</v>
      </c>
      <c r="L332" s="114" t="str">
        <f t="shared" si="53"/>
        <v/>
      </c>
      <c r="V332" s="117" t="str">
        <f t="shared" si="47"/>
        <v xml:space="preserve">   </v>
      </c>
    </row>
    <row r="333" spans="5:22">
      <c r="E333" s="118" t="s">
        <v>64</v>
      </c>
      <c r="F333" s="113" t="str">
        <f t="shared" si="48"/>
        <v>-</v>
      </c>
      <c r="G333" s="114" t="str">
        <f t="shared" si="49"/>
        <v/>
      </c>
      <c r="H333" s="114" t="str">
        <f t="shared" si="50"/>
        <v/>
      </c>
      <c r="J333" s="113" t="str">
        <f t="shared" si="51"/>
        <v>-</v>
      </c>
      <c r="K333" s="113">
        <f t="shared" si="52"/>
        <v>0</v>
      </c>
      <c r="L333" s="114" t="str">
        <f t="shared" si="53"/>
        <v/>
      </c>
      <c r="V333" s="117" t="str">
        <f t="shared" si="47"/>
        <v xml:space="preserve">   </v>
      </c>
    </row>
    <row r="334" spans="5:22">
      <c r="E334" s="118" t="s">
        <v>64</v>
      </c>
      <c r="F334" s="113" t="str">
        <f t="shared" si="48"/>
        <v>-</v>
      </c>
      <c r="G334" s="114" t="str">
        <f t="shared" si="49"/>
        <v/>
      </c>
      <c r="H334" s="114" t="str">
        <f t="shared" si="50"/>
        <v/>
      </c>
      <c r="J334" s="113" t="str">
        <f t="shared" si="51"/>
        <v>-</v>
      </c>
      <c r="K334" s="113">
        <f t="shared" si="52"/>
        <v>0</v>
      </c>
      <c r="L334" s="114" t="str">
        <f t="shared" si="53"/>
        <v/>
      </c>
      <c r="V334" s="117" t="str">
        <f t="shared" si="47"/>
        <v xml:space="preserve">   </v>
      </c>
    </row>
    <row r="335" spans="5:22">
      <c r="E335" s="118" t="s">
        <v>64</v>
      </c>
      <c r="F335" s="113" t="str">
        <f t="shared" si="48"/>
        <v>-</v>
      </c>
      <c r="G335" s="114" t="str">
        <f t="shared" si="49"/>
        <v/>
      </c>
      <c r="H335" s="114" t="str">
        <f t="shared" si="50"/>
        <v/>
      </c>
      <c r="J335" s="113" t="str">
        <f t="shared" si="51"/>
        <v>-</v>
      </c>
      <c r="K335" s="113">
        <f t="shared" si="52"/>
        <v>0</v>
      </c>
      <c r="L335" s="114" t="str">
        <f t="shared" si="53"/>
        <v/>
      </c>
      <c r="V335" s="117" t="str">
        <f t="shared" si="47"/>
        <v xml:space="preserve">   </v>
      </c>
    </row>
    <row r="336" spans="5:22">
      <c r="E336" s="118" t="s">
        <v>64</v>
      </c>
      <c r="F336" s="113" t="str">
        <f t="shared" si="48"/>
        <v>-</v>
      </c>
      <c r="G336" s="114" t="str">
        <f t="shared" si="49"/>
        <v/>
      </c>
      <c r="H336" s="114" t="str">
        <f t="shared" si="50"/>
        <v/>
      </c>
      <c r="J336" s="113" t="str">
        <f t="shared" si="51"/>
        <v>-</v>
      </c>
      <c r="K336" s="113">
        <f t="shared" si="52"/>
        <v>0</v>
      </c>
      <c r="L336" s="114" t="str">
        <f t="shared" si="53"/>
        <v/>
      </c>
      <c r="V336" s="117" t="str">
        <f t="shared" si="47"/>
        <v xml:space="preserve">   </v>
      </c>
    </row>
    <row r="337" spans="5:22">
      <c r="E337" s="118" t="s">
        <v>64</v>
      </c>
      <c r="F337" s="113" t="str">
        <f t="shared" si="48"/>
        <v>-</v>
      </c>
      <c r="G337" s="114" t="str">
        <f t="shared" si="49"/>
        <v/>
      </c>
      <c r="H337" s="114" t="str">
        <f t="shared" si="50"/>
        <v/>
      </c>
      <c r="J337" s="113" t="str">
        <f t="shared" si="51"/>
        <v>-</v>
      </c>
      <c r="K337" s="113">
        <f t="shared" si="52"/>
        <v>0</v>
      </c>
      <c r="L337" s="114" t="str">
        <f t="shared" si="53"/>
        <v/>
      </c>
      <c r="V337" s="117" t="str">
        <f t="shared" si="47"/>
        <v xml:space="preserve">   </v>
      </c>
    </row>
    <row r="338" spans="5:22">
      <c r="E338" s="118" t="s">
        <v>64</v>
      </c>
      <c r="F338" s="113" t="str">
        <f t="shared" si="48"/>
        <v>-</v>
      </c>
      <c r="G338" s="114" t="str">
        <f t="shared" si="49"/>
        <v/>
      </c>
      <c r="H338" s="114" t="str">
        <f t="shared" si="50"/>
        <v/>
      </c>
      <c r="J338" s="113" t="str">
        <f t="shared" si="51"/>
        <v>-</v>
      </c>
      <c r="K338" s="113">
        <f t="shared" si="52"/>
        <v>0</v>
      </c>
      <c r="L338" s="114" t="str">
        <f t="shared" si="53"/>
        <v/>
      </c>
      <c r="V338" s="117" t="str">
        <f t="shared" si="47"/>
        <v xml:space="preserve">   </v>
      </c>
    </row>
    <row r="339" spans="5:22">
      <c r="E339" s="118" t="s">
        <v>64</v>
      </c>
      <c r="F339" s="113" t="str">
        <f t="shared" si="48"/>
        <v>-</v>
      </c>
      <c r="G339" s="114" t="str">
        <f t="shared" si="49"/>
        <v/>
      </c>
      <c r="H339" s="114" t="str">
        <f t="shared" si="50"/>
        <v/>
      </c>
      <c r="J339" s="113" t="str">
        <f t="shared" si="51"/>
        <v>-</v>
      </c>
      <c r="K339" s="113">
        <f t="shared" si="52"/>
        <v>0</v>
      </c>
      <c r="L339" s="114" t="str">
        <f t="shared" si="53"/>
        <v/>
      </c>
      <c r="V339" s="117" t="str">
        <f t="shared" si="47"/>
        <v xml:space="preserve">   </v>
      </c>
    </row>
    <row r="340" spans="5:22">
      <c r="E340" s="118" t="s">
        <v>64</v>
      </c>
      <c r="F340" s="113" t="str">
        <f t="shared" si="48"/>
        <v>-</v>
      </c>
      <c r="G340" s="114" t="str">
        <f t="shared" si="49"/>
        <v/>
      </c>
      <c r="H340" s="114" t="str">
        <f t="shared" si="50"/>
        <v/>
      </c>
      <c r="J340" s="113" t="str">
        <f t="shared" si="51"/>
        <v>-</v>
      </c>
      <c r="K340" s="113">
        <f t="shared" si="52"/>
        <v>0</v>
      </c>
      <c r="L340" s="114" t="str">
        <f t="shared" si="53"/>
        <v/>
      </c>
      <c r="V340" s="117" t="str">
        <f t="shared" si="47"/>
        <v xml:space="preserve">   </v>
      </c>
    </row>
    <row r="341" spans="5:22">
      <c r="E341" s="118" t="s">
        <v>64</v>
      </c>
      <c r="F341" s="113" t="str">
        <f t="shared" si="48"/>
        <v>-</v>
      </c>
      <c r="G341" s="114" t="str">
        <f t="shared" si="49"/>
        <v/>
      </c>
      <c r="H341" s="114" t="str">
        <f t="shared" si="50"/>
        <v/>
      </c>
      <c r="J341" s="113" t="str">
        <f t="shared" si="51"/>
        <v>-</v>
      </c>
      <c r="K341" s="113">
        <f t="shared" si="52"/>
        <v>0</v>
      </c>
      <c r="L341" s="114" t="str">
        <f t="shared" si="53"/>
        <v/>
      </c>
      <c r="V341" s="117" t="str">
        <f t="shared" si="47"/>
        <v xml:space="preserve">   </v>
      </c>
    </row>
    <row r="342" spans="5:22">
      <c r="E342" s="118" t="s">
        <v>64</v>
      </c>
      <c r="F342" s="113" t="str">
        <f t="shared" si="48"/>
        <v>-</v>
      </c>
      <c r="G342" s="114" t="str">
        <f t="shared" si="49"/>
        <v/>
      </c>
      <c r="H342" s="114" t="str">
        <f t="shared" si="50"/>
        <v/>
      </c>
      <c r="J342" s="113" t="str">
        <f t="shared" si="51"/>
        <v>-</v>
      </c>
      <c r="K342" s="113">
        <f t="shared" si="52"/>
        <v>0</v>
      </c>
      <c r="L342" s="114" t="str">
        <f t="shared" si="53"/>
        <v/>
      </c>
      <c r="V342" s="117" t="str">
        <f t="shared" si="47"/>
        <v xml:space="preserve">   </v>
      </c>
    </row>
    <row r="343" spans="5:22">
      <c r="E343" s="118" t="s">
        <v>64</v>
      </c>
      <c r="F343" s="113" t="str">
        <f t="shared" si="48"/>
        <v>-</v>
      </c>
      <c r="G343" s="114" t="str">
        <f t="shared" si="49"/>
        <v/>
      </c>
      <c r="H343" s="114" t="str">
        <f t="shared" si="50"/>
        <v/>
      </c>
      <c r="J343" s="113" t="str">
        <f t="shared" si="51"/>
        <v>-</v>
      </c>
      <c r="K343" s="113">
        <f t="shared" si="52"/>
        <v>0</v>
      </c>
      <c r="L343" s="114" t="str">
        <f t="shared" si="53"/>
        <v/>
      </c>
      <c r="V343" s="117" t="str">
        <f t="shared" si="47"/>
        <v xml:space="preserve">   </v>
      </c>
    </row>
    <row r="344" spans="5:22">
      <c r="E344" s="118" t="s">
        <v>64</v>
      </c>
      <c r="F344" s="113" t="str">
        <f t="shared" si="48"/>
        <v>-</v>
      </c>
      <c r="G344" s="114" t="str">
        <f t="shared" si="49"/>
        <v/>
      </c>
      <c r="H344" s="114" t="str">
        <f t="shared" si="50"/>
        <v/>
      </c>
      <c r="J344" s="113" t="str">
        <f t="shared" si="51"/>
        <v>-</v>
      </c>
      <c r="K344" s="113">
        <f t="shared" si="52"/>
        <v>0</v>
      </c>
      <c r="L344" s="114" t="str">
        <f t="shared" si="53"/>
        <v/>
      </c>
      <c r="V344" s="117" t="str">
        <f t="shared" si="47"/>
        <v xml:space="preserve">   </v>
      </c>
    </row>
    <row r="345" spans="5:22">
      <c r="E345" s="118" t="s">
        <v>64</v>
      </c>
      <c r="F345" s="113" t="str">
        <f t="shared" si="48"/>
        <v>-</v>
      </c>
      <c r="G345" s="114" t="str">
        <f t="shared" si="49"/>
        <v/>
      </c>
      <c r="H345" s="114" t="str">
        <f t="shared" si="50"/>
        <v/>
      </c>
      <c r="J345" s="113" t="str">
        <f t="shared" si="51"/>
        <v>-</v>
      </c>
      <c r="K345" s="113">
        <f t="shared" si="52"/>
        <v>0</v>
      </c>
      <c r="L345" s="114" t="str">
        <f t="shared" si="53"/>
        <v/>
      </c>
      <c r="V345" s="117" t="str">
        <f t="shared" si="47"/>
        <v xml:space="preserve">   </v>
      </c>
    </row>
    <row r="346" spans="5:22">
      <c r="E346" s="118" t="s">
        <v>64</v>
      </c>
      <c r="F346" s="113" t="str">
        <f t="shared" si="48"/>
        <v>-</v>
      </c>
      <c r="G346" s="114" t="str">
        <f t="shared" si="49"/>
        <v/>
      </c>
      <c r="H346" s="114" t="str">
        <f t="shared" si="50"/>
        <v/>
      </c>
      <c r="J346" s="113" t="str">
        <f t="shared" si="51"/>
        <v>-</v>
      </c>
      <c r="K346" s="113">
        <f t="shared" si="52"/>
        <v>0</v>
      </c>
      <c r="L346" s="114" t="str">
        <f t="shared" si="53"/>
        <v/>
      </c>
      <c r="V346" s="117" t="str">
        <f t="shared" si="47"/>
        <v xml:space="preserve">   </v>
      </c>
    </row>
    <row r="347" spans="5:22">
      <c r="E347" s="118" t="s">
        <v>64</v>
      </c>
      <c r="F347" s="113" t="str">
        <f t="shared" si="48"/>
        <v>-</v>
      </c>
      <c r="G347" s="114" t="str">
        <f t="shared" si="49"/>
        <v/>
      </c>
      <c r="H347" s="114" t="str">
        <f t="shared" si="50"/>
        <v/>
      </c>
      <c r="J347" s="113" t="str">
        <f t="shared" si="51"/>
        <v>-</v>
      </c>
      <c r="K347" s="113">
        <f t="shared" si="52"/>
        <v>0</v>
      </c>
      <c r="L347" s="114" t="str">
        <f t="shared" si="53"/>
        <v/>
      </c>
      <c r="V347" s="117" t="str">
        <f t="shared" si="47"/>
        <v xml:space="preserve">   </v>
      </c>
    </row>
    <row r="348" spans="5:22">
      <c r="E348" s="118" t="s">
        <v>64</v>
      </c>
      <c r="F348" s="113" t="str">
        <f t="shared" si="48"/>
        <v>-</v>
      </c>
      <c r="G348" s="114" t="str">
        <f t="shared" si="49"/>
        <v/>
      </c>
      <c r="H348" s="114" t="str">
        <f t="shared" si="50"/>
        <v/>
      </c>
      <c r="J348" s="113" t="str">
        <f t="shared" si="51"/>
        <v>-</v>
      </c>
      <c r="K348" s="113">
        <f t="shared" si="52"/>
        <v>0</v>
      </c>
      <c r="L348" s="114" t="str">
        <f t="shared" si="53"/>
        <v/>
      </c>
      <c r="V348" s="117" t="str">
        <f t="shared" si="47"/>
        <v xml:space="preserve">   </v>
      </c>
    </row>
    <row r="349" spans="5:22">
      <c r="E349" s="118" t="s">
        <v>64</v>
      </c>
      <c r="F349" s="113" t="str">
        <f t="shared" si="48"/>
        <v>-</v>
      </c>
      <c r="G349" s="114" t="str">
        <f t="shared" si="49"/>
        <v/>
      </c>
      <c r="H349" s="114" t="str">
        <f t="shared" si="50"/>
        <v/>
      </c>
      <c r="J349" s="113" t="str">
        <f t="shared" si="51"/>
        <v>-</v>
      </c>
      <c r="K349" s="113">
        <f t="shared" si="52"/>
        <v>0</v>
      </c>
      <c r="L349" s="114" t="str">
        <f t="shared" si="53"/>
        <v/>
      </c>
      <c r="V349" s="117" t="str">
        <f t="shared" si="47"/>
        <v xml:space="preserve">   </v>
      </c>
    </row>
    <row r="350" spans="5:22">
      <c r="E350" s="118" t="s">
        <v>64</v>
      </c>
      <c r="F350" s="113" t="str">
        <f t="shared" si="48"/>
        <v>-</v>
      </c>
      <c r="G350" s="114" t="str">
        <f t="shared" si="49"/>
        <v/>
      </c>
      <c r="H350" s="114" t="str">
        <f t="shared" si="50"/>
        <v/>
      </c>
      <c r="J350" s="113" t="str">
        <f t="shared" si="51"/>
        <v>-</v>
      </c>
      <c r="K350" s="113">
        <f t="shared" si="52"/>
        <v>0</v>
      </c>
      <c r="L350" s="114" t="str">
        <f t="shared" si="53"/>
        <v/>
      </c>
      <c r="V350" s="117" t="str">
        <f t="shared" si="47"/>
        <v xml:space="preserve">   </v>
      </c>
    </row>
    <row r="351" spans="5:22">
      <c r="E351" s="118" t="s">
        <v>64</v>
      </c>
      <c r="F351" s="113" t="str">
        <f t="shared" si="48"/>
        <v>-</v>
      </c>
      <c r="G351" s="114" t="str">
        <f t="shared" si="49"/>
        <v/>
      </c>
      <c r="H351" s="114" t="str">
        <f t="shared" si="50"/>
        <v/>
      </c>
      <c r="J351" s="113" t="str">
        <f t="shared" si="51"/>
        <v>-</v>
      </c>
      <c r="K351" s="113">
        <f t="shared" si="52"/>
        <v>0</v>
      </c>
      <c r="L351" s="114" t="str">
        <f t="shared" si="53"/>
        <v/>
      </c>
      <c r="V351" s="117" t="str">
        <f t="shared" si="47"/>
        <v xml:space="preserve">   </v>
      </c>
    </row>
    <row r="352" spans="5:22">
      <c r="E352" s="118" t="s">
        <v>64</v>
      </c>
      <c r="F352" s="113" t="str">
        <f t="shared" si="48"/>
        <v>-</v>
      </c>
      <c r="G352" s="114" t="str">
        <f t="shared" si="49"/>
        <v/>
      </c>
      <c r="H352" s="114" t="str">
        <f t="shared" si="50"/>
        <v/>
      </c>
      <c r="J352" s="113" t="str">
        <f t="shared" si="51"/>
        <v>-</v>
      </c>
      <c r="K352" s="113">
        <f t="shared" si="52"/>
        <v>0</v>
      </c>
      <c r="L352" s="114" t="str">
        <f t="shared" si="53"/>
        <v/>
      </c>
      <c r="V352" s="117" t="str">
        <f t="shared" si="47"/>
        <v xml:space="preserve">   </v>
      </c>
    </row>
    <row r="353" spans="5:22">
      <c r="E353" s="118" t="s">
        <v>64</v>
      </c>
      <c r="F353" s="113" t="str">
        <f t="shared" si="48"/>
        <v>-</v>
      </c>
      <c r="G353" s="114" t="str">
        <f t="shared" si="49"/>
        <v/>
      </c>
      <c r="H353" s="114" t="str">
        <f t="shared" si="50"/>
        <v/>
      </c>
      <c r="J353" s="113" t="str">
        <f t="shared" si="51"/>
        <v>-</v>
      </c>
      <c r="K353" s="113">
        <f t="shared" si="52"/>
        <v>0</v>
      </c>
      <c r="L353" s="114" t="str">
        <f t="shared" si="53"/>
        <v/>
      </c>
      <c r="V353" s="117" t="str">
        <f t="shared" si="47"/>
        <v xml:space="preserve">   </v>
      </c>
    </row>
    <row r="354" spans="5:22">
      <c r="E354" s="118" t="s">
        <v>64</v>
      </c>
      <c r="F354" s="113" t="str">
        <f t="shared" si="48"/>
        <v>-</v>
      </c>
      <c r="G354" s="114" t="str">
        <f t="shared" si="49"/>
        <v/>
      </c>
      <c r="H354" s="114" t="str">
        <f t="shared" si="50"/>
        <v/>
      </c>
      <c r="J354" s="113" t="str">
        <f t="shared" si="51"/>
        <v>-</v>
      </c>
      <c r="K354" s="113">
        <f t="shared" si="52"/>
        <v>0</v>
      </c>
      <c r="L354" s="114" t="str">
        <f t="shared" si="53"/>
        <v/>
      </c>
      <c r="V354" s="117" t="str">
        <f t="shared" si="47"/>
        <v xml:space="preserve">   </v>
      </c>
    </row>
    <row r="355" spans="5:22">
      <c r="E355" s="118" t="s">
        <v>64</v>
      </c>
      <c r="F355" s="113" t="str">
        <f t="shared" si="48"/>
        <v>-</v>
      </c>
      <c r="G355" s="114" t="str">
        <f t="shared" si="49"/>
        <v/>
      </c>
      <c r="H355" s="114" t="str">
        <f t="shared" si="50"/>
        <v/>
      </c>
      <c r="J355" s="113" t="str">
        <f t="shared" si="51"/>
        <v>-</v>
      </c>
      <c r="K355" s="113">
        <f t="shared" si="52"/>
        <v>0</v>
      </c>
      <c r="L355" s="114" t="str">
        <f t="shared" si="53"/>
        <v/>
      </c>
      <c r="V355" s="117" t="str">
        <f t="shared" si="47"/>
        <v xml:space="preserve">   </v>
      </c>
    </row>
    <row r="356" spans="5:22">
      <c r="E356" s="118" t="s">
        <v>64</v>
      </c>
      <c r="F356" s="113" t="str">
        <f t="shared" si="48"/>
        <v>-</v>
      </c>
      <c r="G356" s="114" t="str">
        <f t="shared" si="49"/>
        <v/>
      </c>
      <c r="H356" s="114" t="str">
        <f t="shared" si="50"/>
        <v/>
      </c>
      <c r="J356" s="113" t="str">
        <f t="shared" si="51"/>
        <v>-</v>
      </c>
      <c r="K356" s="113">
        <f t="shared" si="52"/>
        <v>0</v>
      </c>
      <c r="L356" s="114" t="str">
        <f t="shared" si="53"/>
        <v/>
      </c>
      <c r="V356" s="117" t="str">
        <f t="shared" si="47"/>
        <v xml:space="preserve">   </v>
      </c>
    </row>
    <row r="357" spans="5:22">
      <c r="E357" s="118" t="s">
        <v>64</v>
      </c>
      <c r="F357" s="113" t="str">
        <f t="shared" si="48"/>
        <v>-</v>
      </c>
      <c r="G357" s="114" t="str">
        <f t="shared" si="49"/>
        <v/>
      </c>
      <c r="H357" s="114" t="str">
        <f t="shared" si="50"/>
        <v/>
      </c>
      <c r="J357" s="113" t="str">
        <f t="shared" si="51"/>
        <v>-</v>
      </c>
      <c r="K357" s="113">
        <f t="shared" si="52"/>
        <v>0</v>
      </c>
      <c r="L357" s="114" t="str">
        <f t="shared" si="53"/>
        <v/>
      </c>
      <c r="V357" s="117" t="str">
        <f t="shared" si="47"/>
        <v xml:space="preserve">   </v>
      </c>
    </row>
    <row r="358" spans="5:22">
      <c r="E358" s="118" t="s">
        <v>64</v>
      </c>
      <c r="F358" s="113" t="str">
        <f t="shared" si="48"/>
        <v>-</v>
      </c>
      <c r="G358" s="114" t="str">
        <f t="shared" si="49"/>
        <v/>
      </c>
      <c r="H358" s="114" t="str">
        <f t="shared" si="50"/>
        <v/>
      </c>
      <c r="J358" s="113" t="str">
        <f t="shared" si="51"/>
        <v>-</v>
      </c>
      <c r="K358" s="113">
        <f t="shared" si="52"/>
        <v>0</v>
      </c>
      <c r="L358" s="114" t="str">
        <f t="shared" si="53"/>
        <v/>
      </c>
      <c r="V358" s="117" t="str">
        <f t="shared" si="47"/>
        <v xml:space="preserve">   </v>
      </c>
    </row>
    <row r="359" spans="5:22">
      <c r="E359" s="118" t="s">
        <v>64</v>
      </c>
      <c r="F359" s="113" t="str">
        <f t="shared" si="48"/>
        <v>-</v>
      </c>
      <c r="G359" s="114" t="str">
        <f t="shared" si="49"/>
        <v/>
      </c>
      <c r="H359" s="114" t="str">
        <f t="shared" si="50"/>
        <v/>
      </c>
      <c r="J359" s="113" t="str">
        <f t="shared" si="51"/>
        <v>-</v>
      </c>
      <c r="K359" s="113">
        <f t="shared" si="52"/>
        <v>0</v>
      </c>
      <c r="L359" s="114" t="str">
        <f t="shared" si="53"/>
        <v/>
      </c>
      <c r="V359" s="117" t="str">
        <f t="shared" si="47"/>
        <v xml:space="preserve">   </v>
      </c>
    </row>
    <row r="360" spans="5:22">
      <c r="E360" s="118" t="s">
        <v>64</v>
      </c>
      <c r="F360" s="113" t="str">
        <f t="shared" si="48"/>
        <v>-</v>
      </c>
      <c r="G360" s="114" t="str">
        <f t="shared" si="49"/>
        <v/>
      </c>
      <c r="H360" s="114" t="str">
        <f t="shared" si="50"/>
        <v/>
      </c>
      <c r="J360" s="113" t="str">
        <f t="shared" si="51"/>
        <v>-</v>
      </c>
      <c r="K360" s="113">
        <f t="shared" si="52"/>
        <v>0</v>
      </c>
      <c r="L360" s="114" t="str">
        <f t="shared" si="53"/>
        <v/>
      </c>
      <c r="V360" s="117" t="str">
        <f t="shared" si="47"/>
        <v xml:space="preserve">   </v>
      </c>
    </row>
    <row r="361" spans="5:22">
      <c r="E361" s="118" t="s">
        <v>64</v>
      </c>
      <c r="F361" s="113" t="str">
        <f t="shared" si="48"/>
        <v>-</v>
      </c>
      <c r="G361" s="114" t="str">
        <f t="shared" si="49"/>
        <v/>
      </c>
      <c r="H361" s="114" t="str">
        <f t="shared" si="50"/>
        <v/>
      </c>
      <c r="J361" s="113" t="str">
        <f t="shared" si="51"/>
        <v>-</v>
      </c>
      <c r="K361" s="113">
        <f t="shared" si="52"/>
        <v>0</v>
      </c>
      <c r="L361" s="114" t="str">
        <f t="shared" si="53"/>
        <v/>
      </c>
      <c r="V361" s="117" t="str">
        <f t="shared" si="47"/>
        <v xml:space="preserve">   </v>
      </c>
    </row>
    <row r="362" spans="5:22">
      <c r="E362" s="118" t="s">
        <v>64</v>
      </c>
      <c r="F362" s="113" t="str">
        <f t="shared" si="48"/>
        <v>-</v>
      </c>
      <c r="G362" s="114" t="str">
        <f t="shared" si="49"/>
        <v/>
      </c>
      <c r="H362" s="114" t="str">
        <f t="shared" si="50"/>
        <v/>
      </c>
      <c r="J362" s="113" t="str">
        <f t="shared" si="51"/>
        <v>-</v>
      </c>
      <c r="K362" s="113">
        <f t="shared" si="52"/>
        <v>0</v>
      </c>
      <c r="L362" s="114" t="str">
        <f t="shared" si="53"/>
        <v/>
      </c>
      <c r="V362" s="117" t="str">
        <f t="shared" si="47"/>
        <v xml:space="preserve">   </v>
      </c>
    </row>
    <row r="363" spans="5:22">
      <c r="E363" s="118" t="s">
        <v>64</v>
      </c>
      <c r="F363" s="113" t="str">
        <f t="shared" si="48"/>
        <v>-</v>
      </c>
      <c r="G363" s="114" t="str">
        <f t="shared" si="49"/>
        <v/>
      </c>
      <c r="H363" s="114" t="str">
        <f t="shared" si="50"/>
        <v/>
      </c>
      <c r="J363" s="113" t="str">
        <f t="shared" si="51"/>
        <v>-</v>
      </c>
      <c r="K363" s="113">
        <f t="shared" si="52"/>
        <v>0</v>
      </c>
      <c r="L363" s="114" t="str">
        <f t="shared" si="53"/>
        <v/>
      </c>
      <c r="V363" s="117" t="str">
        <f t="shared" si="47"/>
        <v xml:space="preserve">   </v>
      </c>
    </row>
    <row r="364" spans="5:22">
      <c r="E364" s="118" t="s">
        <v>64</v>
      </c>
      <c r="F364" s="113" t="str">
        <f t="shared" si="48"/>
        <v>-</v>
      </c>
      <c r="G364" s="114" t="str">
        <f t="shared" si="49"/>
        <v/>
      </c>
      <c r="H364" s="114" t="str">
        <f t="shared" si="50"/>
        <v/>
      </c>
      <c r="J364" s="113" t="str">
        <f t="shared" si="51"/>
        <v>-</v>
      </c>
      <c r="K364" s="113">
        <f t="shared" si="52"/>
        <v>0</v>
      </c>
      <c r="L364" s="114" t="str">
        <f t="shared" si="53"/>
        <v/>
      </c>
      <c r="V364" s="117" t="str">
        <f t="shared" si="47"/>
        <v xml:space="preserve">   </v>
      </c>
    </row>
    <row r="365" spans="5:22">
      <c r="E365" s="118" t="s">
        <v>64</v>
      </c>
      <c r="F365" s="113" t="str">
        <f t="shared" si="48"/>
        <v>-</v>
      </c>
      <c r="G365" s="114" t="str">
        <f t="shared" si="49"/>
        <v/>
      </c>
      <c r="H365" s="114" t="str">
        <f t="shared" si="50"/>
        <v/>
      </c>
      <c r="J365" s="113" t="str">
        <f t="shared" si="51"/>
        <v>-</v>
      </c>
      <c r="K365" s="113">
        <f t="shared" si="52"/>
        <v>0</v>
      </c>
      <c r="L365" s="114" t="str">
        <f t="shared" si="53"/>
        <v/>
      </c>
      <c r="V365" s="117" t="str">
        <f t="shared" si="47"/>
        <v xml:space="preserve">   </v>
      </c>
    </row>
    <row r="366" spans="5:22">
      <c r="E366" s="118" t="s">
        <v>64</v>
      </c>
      <c r="F366" s="113" t="str">
        <f t="shared" si="48"/>
        <v>-</v>
      </c>
      <c r="G366" s="114" t="str">
        <f t="shared" si="49"/>
        <v/>
      </c>
      <c r="H366" s="114" t="str">
        <f t="shared" si="50"/>
        <v/>
      </c>
      <c r="J366" s="113" t="str">
        <f t="shared" si="51"/>
        <v>-</v>
      </c>
      <c r="K366" s="113">
        <f t="shared" si="52"/>
        <v>0</v>
      </c>
      <c r="L366" s="114" t="str">
        <f t="shared" si="53"/>
        <v/>
      </c>
      <c r="V366" s="117" t="str">
        <f t="shared" si="47"/>
        <v xml:space="preserve">   </v>
      </c>
    </row>
    <row r="367" spans="5:22">
      <c r="E367" s="118" t="s">
        <v>64</v>
      </c>
      <c r="F367" s="113" t="str">
        <f t="shared" si="48"/>
        <v>-</v>
      </c>
      <c r="G367" s="114" t="str">
        <f t="shared" si="49"/>
        <v/>
      </c>
      <c r="H367" s="114" t="str">
        <f t="shared" si="50"/>
        <v/>
      </c>
      <c r="J367" s="113" t="str">
        <f t="shared" si="51"/>
        <v>-</v>
      </c>
      <c r="K367" s="113">
        <f t="shared" si="52"/>
        <v>0</v>
      </c>
      <c r="L367" s="114" t="str">
        <f t="shared" si="53"/>
        <v/>
      </c>
      <c r="V367" s="117" t="str">
        <f t="shared" si="47"/>
        <v xml:space="preserve">   </v>
      </c>
    </row>
    <row r="368" spans="5:22">
      <c r="E368" s="118" t="s">
        <v>64</v>
      </c>
      <c r="F368" s="113" t="str">
        <f t="shared" si="48"/>
        <v>-</v>
      </c>
      <c r="G368" s="114" t="str">
        <f t="shared" si="49"/>
        <v/>
      </c>
      <c r="H368" s="114" t="str">
        <f t="shared" si="50"/>
        <v/>
      </c>
      <c r="J368" s="113" t="str">
        <f t="shared" si="51"/>
        <v>-</v>
      </c>
      <c r="K368" s="113">
        <f t="shared" si="52"/>
        <v>0</v>
      </c>
      <c r="L368" s="114" t="str">
        <f t="shared" si="53"/>
        <v/>
      </c>
      <c r="V368" s="117" t="str">
        <f t="shared" si="47"/>
        <v xml:space="preserve">   </v>
      </c>
    </row>
    <row r="369" spans="5:22">
      <c r="E369" s="118" t="s">
        <v>64</v>
      </c>
      <c r="F369" s="113" t="str">
        <f t="shared" si="48"/>
        <v>-</v>
      </c>
      <c r="G369" s="114" t="str">
        <f t="shared" si="49"/>
        <v/>
      </c>
      <c r="H369" s="114" t="str">
        <f t="shared" si="50"/>
        <v/>
      </c>
      <c r="J369" s="113" t="str">
        <f t="shared" si="51"/>
        <v>-</v>
      </c>
      <c r="K369" s="113">
        <f t="shared" si="52"/>
        <v>0</v>
      </c>
      <c r="L369" s="114" t="str">
        <f t="shared" si="53"/>
        <v/>
      </c>
      <c r="V369" s="117" t="str">
        <f t="shared" si="47"/>
        <v xml:space="preserve">   </v>
      </c>
    </row>
    <row r="370" spans="5:22">
      <c r="E370" s="118" t="s">
        <v>64</v>
      </c>
      <c r="F370" s="113" t="str">
        <f t="shared" si="48"/>
        <v>-</v>
      </c>
      <c r="G370" s="114" t="str">
        <f t="shared" si="49"/>
        <v/>
      </c>
      <c r="H370" s="114" t="str">
        <f t="shared" si="50"/>
        <v/>
      </c>
      <c r="J370" s="113" t="str">
        <f t="shared" si="51"/>
        <v>-</v>
      </c>
      <c r="K370" s="113">
        <f t="shared" si="52"/>
        <v>0</v>
      </c>
      <c r="L370" s="114" t="str">
        <f t="shared" si="53"/>
        <v/>
      </c>
      <c r="V370" s="117" t="str">
        <f t="shared" si="47"/>
        <v xml:space="preserve">   </v>
      </c>
    </row>
    <row r="371" spans="5:22">
      <c r="E371" s="118" t="s">
        <v>64</v>
      </c>
      <c r="F371" s="113" t="str">
        <f t="shared" si="48"/>
        <v>-</v>
      </c>
      <c r="G371" s="114" t="str">
        <f t="shared" si="49"/>
        <v/>
      </c>
      <c r="H371" s="114" t="str">
        <f t="shared" si="50"/>
        <v/>
      </c>
      <c r="J371" s="113" t="str">
        <f t="shared" si="51"/>
        <v>-</v>
      </c>
      <c r="K371" s="113">
        <f t="shared" si="52"/>
        <v>0</v>
      </c>
      <c r="L371" s="114" t="str">
        <f t="shared" si="53"/>
        <v/>
      </c>
      <c r="V371" s="117" t="str">
        <f t="shared" si="47"/>
        <v xml:space="preserve">   </v>
      </c>
    </row>
    <row r="372" spans="5:22">
      <c r="E372" s="118" t="s">
        <v>64</v>
      </c>
      <c r="F372" s="113" t="str">
        <f t="shared" si="48"/>
        <v>-</v>
      </c>
      <c r="G372" s="114" t="str">
        <f t="shared" si="49"/>
        <v/>
      </c>
      <c r="H372" s="114" t="str">
        <f t="shared" si="50"/>
        <v/>
      </c>
      <c r="J372" s="113" t="str">
        <f t="shared" si="51"/>
        <v>-</v>
      </c>
      <c r="K372" s="113">
        <f t="shared" si="52"/>
        <v>0</v>
      </c>
      <c r="L372" s="114" t="str">
        <f t="shared" si="53"/>
        <v/>
      </c>
      <c r="V372" s="117" t="str">
        <f t="shared" si="47"/>
        <v xml:space="preserve">   </v>
      </c>
    </row>
    <row r="373" spans="5:22">
      <c r="E373" s="118" t="s">
        <v>64</v>
      </c>
      <c r="F373" s="113" t="str">
        <f t="shared" si="48"/>
        <v>-</v>
      </c>
      <c r="G373" s="114" t="str">
        <f t="shared" si="49"/>
        <v/>
      </c>
      <c r="H373" s="114" t="str">
        <f t="shared" si="50"/>
        <v/>
      </c>
      <c r="J373" s="113" t="str">
        <f t="shared" si="51"/>
        <v>-</v>
      </c>
      <c r="K373" s="113">
        <f t="shared" si="52"/>
        <v>0</v>
      </c>
      <c r="L373" s="114" t="str">
        <f t="shared" si="53"/>
        <v/>
      </c>
      <c r="V373" s="117" t="str">
        <f t="shared" si="47"/>
        <v xml:space="preserve">   </v>
      </c>
    </row>
    <row r="374" spans="5:22">
      <c r="E374" s="118" t="s">
        <v>64</v>
      </c>
      <c r="F374" s="113" t="str">
        <f t="shared" si="48"/>
        <v>-</v>
      </c>
      <c r="G374" s="114" t="str">
        <f t="shared" si="49"/>
        <v/>
      </c>
      <c r="H374" s="114" t="str">
        <f t="shared" si="50"/>
        <v/>
      </c>
      <c r="J374" s="113" t="str">
        <f t="shared" si="51"/>
        <v>-</v>
      </c>
      <c r="K374" s="113">
        <f t="shared" si="52"/>
        <v>0</v>
      </c>
      <c r="L374" s="114" t="str">
        <f t="shared" si="53"/>
        <v/>
      </c>
      <c r="V374" s="117" t="str">
        <f t="shared" si="47"/>
        <v xml:space="preserve">   </v>
      </c>
    </row>
    <row r="375" spans="5:22">
      <c r="E375" s="118" t="s">
        <v>64</v>
      </c>
      <c r="F375" s="113" t="str">
        <f t="shared" si="48"/>
        <v>-</v>
      </c>
      <c r="G375" s="114" t="str">
        <f t="shared" si="49"/>
        <v/>
      </c>
      <c r="H375" s="114" t="str">
        <f t="shared" si="50"/>
        <v/>
      </c>
      <c r="J375" s="113" t="str">
        <f t="shared" si="51"/>
        <v>-</v>
      </c>
      <c r="K375" s="113">
        <f t="shared" si="52"/>
        <v>0</v>
      </c>
      <c r="L375" s="114" t="str">
        <f t="shared" si="53"/>
        <v/>
      </c>
      <c r="V375" s="117" t="str">
        <f t="shared" si="47"/>
        <v xml:space="preserve">   </v>
      </c>
    </row>
    <row r="376" spans="5:22">
      <c r="E376" s="118" t="s">
        <v>64</v>
      </c>
      <c r="F376" s="113" t="str">
        <f t="shared" si="48"/>
        <v>-</v>
      </c>
      <c r="G376" s="114" t="str">
        <f t="shared" si="49"/>
        <v/>
      </c>
      <c r="H376" s="114" t="str">
        <f t="shared" si="50"/>
        <v/>
      </c>
      <c r="J376" s="113" t="str">
        <f t="shared" si="51"/>
        <v>-</v>
      </c>
      <c r="K376" s="113">
        <f t="shared" si="52"/>
        <v>0</v>
      </c>
      <c r="L376" s="114" t="str">
        <f t="shared" si="53"/>
        <v/>
      </c>
      <c r="V376" s="117" t="str">
        <f t="shared" si="47"/>
        <v xml:space="preserve">   </v>
      </c>
    </row>
    <row r="377" spans="5:22">
      <c r="E377" s="118" t="s">
        <v>64</v>
      </c>
      <c r="F377" s="113" t="str">
        <f t="shared" si="48"/>
        <v>-</v>
      </c>
      <c r="G377" s="114" t="str">
        <f t="shared" si="49"/>
        <v/>
      </c>
      <c r="H377" s="114" t="str">
        <f t="shared" si="50"/>
        <v/>
      </c>
      <c r="J377" s="113" t="str">
        <f t="shared" si="51"/>
        <v>-</v>
      </c>
      <c r="K377" s="113">
        <f t="shared" si="52"/>
        <v>0</v>
      </c>
      <c r="L377" s="114" t="str">
        <f t="shared" si="53"/>
        <v/>
      </c>
      <c r="V377" s="117" t="str">
        <f t="shared" si="47"/>
        <v xml:space="preserve">   </v>
      </c>
    </row>
    <row r="378" spans="5:22">
      <c r="E378" s="118" t="s">
        <v>64</v>
      </c>
      <c r="F378" s="113" t="str">
        <f t="shared" si="48"/>
        <v>-</v>
      </c>
      <c r="G378" s="114" t="str">
        <f t="shared" si="49"/>
        <v/>
      </c>
      <c r="H378" s="114" t="str">
        <f t="shared" si="50"/>
        <v/>
      </c>
      <c r="J378" s="113" t="str">
        <f t="shared" si="51"/>
        <v>-</v>
      </c>
      <c r="K378" s="113">
        <f t="shared" si="52"/>
        <v>0</v>
      </c>
      <c r="L378" s="114" t="str">
        <f t="shared" si="53"/>
        <v/>
      </c>
      <c r="V378" s="117" t="str">
        <f t="shared" si="47"/>
        <v xml:space="preserve">   </v>
      </c>
    </row>
    <row r="379" spans="5:22">
      <c r="E379" s="118" t="s">
        <v>64</v>
      </c>
      <c r="F379" s="113" t="str">
        <f t="shared" si="48"/>
        <v>-</v>
      </c>
      <c r="G379" s="114" t="str">
        <f t="shared" si="49"/>
        <v/>
      </c>
      <c r="H379" s="114" t="str">
        <f t="shared" si="50"/>
        <v/>
      </c>
      <c r="J379" s="113" t="str">
        <f t="shared" si="51"/>
        <v>-</v>
      </c>
      <c r="K379" s="113">
        <f t="shared" si="52"/>
        <v>0</v>
      </c>
      <c r="L379" s="114" t="str">
        <f t="shared" si="53"/>
        <v/>
      </c>
      <c r="V379" s="117" t="str">
        <f t="shared" si="47"/>
        <v xml:space="preserve">   </v>
      </c>
    </row>
    <row r="380" spans="5:22">
      <c r="E380" s="118" t="s">
        <v>64</v>
      </c>
      <c r="F380" s="113" t="str">
        <f t="shared" si="48"/>
        <v>-</v>
      </c>
      <c r="G380" s="114" t="str">
        <f t="shared" si="49"/>
        <v/>
      </c>
      <c r="H380" s="114" t="str">
        <f t="shared" si="50"/>
        <v/>
      </c>
      <c r="J380" s="113" t="str">
        <f t="shared" si="51"/>
        <v>-</v>
      </c>
      <c r="K380" s="113">
        <f t="shared" si="52"/>
        <v>0</v>
      </c>
      <c r="L380" s="114" t="str">
        <f t="shared" si="53"/>
        <v/>
      </c>
      <c r="V380" s="117" t="str">
        <f t="shared" si="47"/>
        <v xml:space="preserve">   </v>
      </c>
    </row>
    <row r="381" spans="5:22">
      <c r="E381" s="118" t="s">
        <v>64</v>
      </c>
      <c r="F381" s="113" t="str">
        <f t="shared" si="48"/>
        <v>-</v>
      </c>
      <c r="G381" s="114" t="str">
        <f t="shared" si="49"/>
        <v/>
      </c>
      <c r="H381" s="114" t="str">
        <f t="shared" si="50"/>
        <v/>
      </c>
      <c r="J381" s="113" t="str">
        <f t="shared" si="51"/>
        <v>-</v>
      </c>
      <c r="K381" s="113">
        <f t="shared" si="52"/>
        <v>0</v>
      </c>
      <c r="L381" s="114" t="str">
        <f t="shared" si="53"/>
        <v/>
      </c>
      <c r="V381" s="117" t="str">
        <f t="shared" si="47"/>
        <v xml:space="preserve">   </v>
      </c>
    </row>
    <row r="382" spans="5:22">
      <c r="E382" s="118" t="s">
        <v>64</v>
      </c>
      <c r="F382" s="113" t="str">
        <f t="shared" si="48"/>
        <v>-</v>
      </c>
      <c r="G382" s="114" t="str">
        <f t="shared" si="49"/>
        <v/>
      </c>
      <c r="H382" s="114" t="str">
        <f t="shared" si="50"/>
        <v/>
      </c>
      <c r="J382" s="113" t="str">
        <f t="shared" si="51"/>
        <v>-</v>
      </c>
      <c r="K382" s="113">
        <f t="shared" si="52"/>
        <v>0</v>
      </c>
      <c r="L382" s="114" t="str">
        <f t="shared" si="53"/>
        <v/>
      </c>
      <c r="V382" s="117" t="str">
        <f t="shared" si="47"/>
        <v xml:space="preserve">   </v>
      </c>
    </row>
    <row r="383" spans="5:22">
      <c r="E383" s="118" t="s">
        <v>64</v>
      </c>
      <c r="F383" s="113" t="str">
        <f t="shared" si="48"/>
        <v>-</v>
      </c>
      <c r="G383" s="114" t="str">
        <f t="shared" si="49"/>
        <v/>
      </c>
      <c r="H383" s="114" t="str">
        <f t="shared" si="50"/>
        <v/>
      </c>
      <c r="J383" s="113" t="str">
        <f t="shared" si="51"/>
        <v>-</v>
      </c>
      <c r="K383" s="113">
        <f t="shared" si="52"/>
        <v>0</v>
      </c>
      <c r="L383" s="114" t="str">
        <f t="shared" si="53"/>
        <v/>
      </c>
      <c r="V383" s="117" t="str">
        <f t="shared" si="47"/>
        <v xml:space="preserve">   </v>
      </c>
    </row>
    <row r="384" spans="5:22">
      <c r="E384" s="118" t="s">
        <v>64</v>
      </c>
      <c r="F384" s="113" t="str">
        <f t="shared" si="48"/>
        <v>-</v>
      </c>
      <c r="G384" s="114" t="str">
        <f t="shared" si="49"/>
        <v/>
      </c>
      <c r="H384" s="114" t="str">
        <f t="shared" si="50"/>
        <v/>
      </c>
      <c r="J384" s="113" t="str">
        <f t="shared" si="51"/>
        <v>-</v>
      </c>
      <c r="K384" s="113">
        <f t="shared" si="52"/>
        <v>0</v>
      </c>
      <c r="L384" s="114" t="str">
        <f t="shared" si="53"/>
        <v/>
      </c>
      <c r="V384" s="117" t="str">
        <f t="shared" si="47"/>
        <v xml:space="preserve">   </v>
      </c>
    </row>
    <row r="385" spans="5:22">
      <c r="E385" s="118" t="s">
        <v>64</v>
      </c>
      <c r="F385" s="113" t="str">
        <f t="shared" si="48"/>
        <v>-</v>
      </c>
      <c r="G385" s="114" t="str">
        <f t="shared" si="49"/>
        <v/>
      </c>
      <c r="H385" s="114" t="str">
        <f t="shared" si="50"/>
        <v/>
      </c>
      <c r="J385" s="113" t="str">
        <f t="shared" si="51"/>
        <v>-</v>
      </c>
      <c r="K385" s="113">
        <f t="shared" si="52"/>
        <v>0</v>
      </c>
      <c r="L385" s="114" t="str">
        <f t="shared" si="53"/>
        <v/>
      </c>
      <c r="V385" s="117" t="str">
        <f t="shared" si="47"/>
        <v xml:space="preserve">   </v>
      </c>
    </row>
    <row r="386" spans="5:22">
      <c r="E386" s="118" t="s">
        <v>64</v>
      </c>
      <c r="F386" s="113" t="str">
        <f t="shared" si="48"/>
        <v>-</v>
      </c>
      <c r="G386" s="114" t="str">
        <f t="shared" si="49"/>
        <v/>
      </c>
      <c r="H386" s="114" t="str">
        <f t="shared" si="50"/>
        <v/>
      </c>
      <c r="J386" s="113" t="str">
        <f t="shared" si="51"/>
        <v>-</v>
      </c>
      <c r="K386" s="113">
        <f t="shared" si="52"/>
        <v>0</v>
      </c>
      <c r="L386" s="114" t="str">
        <f t="shared" si="53"/>
        <v/>
      </c>
      <c r="V386" s="117" t="str">
        <f t="shared" si="47"/>
        <v xml:space="preserve">   </v>
      </c>
    </row>
    <row r="387" spans="5:22">
      <c r="E387" s="118" t="s">
        <v>64</v>
      </c>
      <c r="F387" s="113" t="str">
        <f t="shared" si="48"/>
        <v>-</v>
      </c>
      <c r="G387" s="114" t="str">
        <f t="shared" si="49"/>
        <v/>
      </c>
      <c r="H387" s="114" t="str">
        <f t="shared" si="50"/>
        <v/>
      </c>
      <c r="J387" s="113" t="str">
        <f t="shared" si="51"/>
        <v>-</v>
      </c>
      <c r="K387" s="113">
        <f t="shared" si="52"/>
        <v>0</v>
      </c>
      <c r="L387" s="114" t="str">
        <f t="shared" si="53"/>
        <v/>
      </c>
      <c r="V387" s="117" t="str">
        <f t="shared" si="47"/>
        <v xml:space="preserve">   </v>
      </c>
    </row>
    <row r="388" spans="5:22">
      <c r="E388" s="118" t="s">
        <v>64</v>
      </c>
      <c r="F388" s="113" t="str">
        <f t="shared" si="48"/>
        <v>-</v>
      </c>
      <c r="G388" s="114" t="str">
        <f t="shared" si="49"/>
        <v/>
      </c>
      <c r="H388" s="114" t="str">
        <f t="shared" si="50"/>
        <v/>
      </c>
      <c r="J388" s="113" t="str">
        <f t="shared" si="51"/>
        <v>-</v>
      </c>
      <c r="K388" s="113">
        <f t="shared" si="52"/>
        <v>0</v>
      </c>
      <c r="L388" s="114" t="str">
        <f t="shared" si="53"/>
        <v/>
      </c>
      <c r="V388" s="117" t="str">
        <f t="shared" si="47"/>
        <v xml:space="preserve">   </v>
      </c>
    </row>
    <row r="389" spans="5:22">
      <c r="E389" s="118" t="s">
        <v>64</v>
      </c>
      <c r="F389" s="113" t="str">
        <f t="shared" si="48"/>
        <v>-</v>
      </c>
      <c r="G389" s="114" t="str">
        <f t="shared" si="49"/>
        <v/>
      </c>
      <c r="H389" s="114" t="str">
        <f t="shared" si="50"/>
        <v/>
      </c>
      <c r="J389" s="113" t="str">
        <f t="shared" si="51"/>
        <v>-</v>
      </c>
      <c r="K389" s="113">
        <f t="shared" si="52"/>
        <v>0</v>
      </c>
      <c r="L389" s="114" t="str">
        <f t="shared" si="53"/>
        <v/>
      </c>
      <c r="V389" s="117" t="str">
        <f t="shared" si="47"/>
        <v xml:space="preserve">   </v>
      </c>
    </row>
    <row r="390" spans="5:22">
      <c r="E390" s="118" t="s">
        <v>64</v>
      </c>
      <c r="F390" s="113" t="str">
        <f t="shared" si="48"/>
        <v>-</v>
      </c>
      <c r="G390" s="114" t="str">
        <f t="shared" si="49"/>
        <v/>
      </c>
      <c r="H390" s="114" t="str">
        <f t="shared" si="50"/>
        <v/>
      </c>
      <c r="J390" s="113" t="str">
        <f t="shared" si="51"/>
        <v>-</v>
      </c>
      <c r="K390" s="113">
        <f t="shared" si="52"/>
        <v>0</v>
      </c>
      <c r="L390" s="114" t="str">
        <f t="shared" si="53"/>
        <v/>
      </c>
      <c r="V390" s="117" t="str">
        <f t="shared" ref="V390:V453" si="54">CONCATENATE(A390," ",B390," ",C390," ",D390)</f>
        <v xml:space="preserve">   </v>
      </c>
    </row>
    <row r="391" spans="5:22">
      <c r="E391" s="118" t="s">
        <v>64</v>
      </c>
      <c r="F391" s="113" t="str">
        <f t="shared" si="48"/>
        <v>-</v>
      </c>
      <c r="G391" s="114" t="str">
        <f t="shared" si="49"/>
        <v/>
      </c>
      <c r="H391" s="114" t="str">
        <f t="shared" si="50"/>
        <v/>
      </c>
      <c r="J391" s="113" t="str">
        <f t="shared" si="51"/>
        <v>-</v>
      </c>
      <c r="K391" s="113">
        <f t="shared" si="52"/>
        <v>0</v>
      </c>
      <c r="L391" s="114" t="str">
        <f t="shared" si="53"/>
        <v/>
      </c>
      <c r="V391" s="117" t="str">
        <f t="shared" si="54"/>
        <v xml:space="preserve">   </v>
      </c>
    </row>
    <row r="392" spans="5:22">
      <c r="E392" s="118" t="s">
        <v>64</v>
      </c>
      <c r="F392" s="113" t="str">
        <f t="shared" si="48"/>
        <v>-</v>
      </c>
      <c r="G392" s="114" t="str">
        <f t="shared" si="49"/>
        <v/>
      </c>
      <c r="H392" s="114" t="str">
        <f t="shared" si="50"/>
        <v/>
      </c>
      <c r="J392" s="113" t="str">
        <f t="shared" si="51"/>
        <v>-</v>
      </c>
      <c r="K392" s="113">
        <f t="shared" si="52"/>
        <v>0</v>
      </c>
      <c r="L392" s="114" t="str">
        <f t="shared" si="53"/>
        <v/>
      </c>
      <c r="V392" s="117" t="str">
        <f t="shared" si="54"/>
        <v xml:space="preserve">   </v>
      </c>
    </row>
    <row r="393" spans="5:22">
      <c r="E393" s="118" t="s">
        <v>64</v>
      </c>
      <c r="F393" s="113" t="str">
        <f t="shared" ref="F393:F456" si="55">IFERROR(INDEX(A393,MATCH(E393&amp;"*",A393,)),"-")</f>
        <v>-</v>
      </c>
      <c r="G393" s="114" t="str">
        <f t="shared" ref="G393:G456" si="56">IF(F393="-","",LEFT(F393,6))</f>
        <v/>
      </c>
      <c r="H393" s="114" t="str">
        <f t="shared" ref="H393:H456" si="57">MID(F393,8,50)</f>
        <v/>
      </c>
      <c r="J393" s="113" t="str">
        <f t="shared" ref="J393:J456" si="58">IF(F393="-","-",LEFT(F393,6))</f>
        <v>-</v>
      </c>
      <c r="K393" s="113">
        <f t="shared" ref="K393:K456" si="59">I393</f>
        <v>0</v>
      </c>
      <c r="L393" s="114" t="str">
        <f t="shared" ref="L393:L456" si="60">IF(F393="-","",B393)</f>
        <v/>
      </c>
      <c r="V393" s="117" t="str">
        <f t="shared" si="54"/>
        <v xml:space="preserve">   </v>
      </c>
    </row>
    <row r="394" spans="5:22">
      <c r="E394" s="118" t="s">
        <v>64</v>
      </c>
      <c r="F394" s="113" t="str">
        <f t="shared" si="55"/>
        <v>-</v>
      </c>
      <c r="G394" s="114" t="str">
        <f t="shared" si="56"/>
        <v/>
      </c>
      <c r="H394" s="114" t="str">
        <f t="shared" si="57"/>
        <v/>
      </c>
      <c r="J394" s="113" t="str">
        <f t="shared" si="58"/>
        <v>-</v>
      </c>
      <c r="K394" s="113">
        <f t="shared" si="59"/>
        <v>0</v>
      </c>
      <c r="L394" s="114" t="str">
        <f t="shared" si="60"/>
        <v/>
      </c>
      <c r="V394" s="117" t="str">
        <f t="shared" si="54"/>
        <v xml:space="preserve">   </v>
      </c>
    </row>
    <row r="395" spans="5:22">
      <c r="E395" s="118" t="s">
        <v>64</v>
      </c>
      <c r="F395" s="113" t="str">
        <f t="shared" si="55"/>
        <v>-</v>
      </c>
      <c r="G395" s="114" t="str">
        <f t="shared" si="56"/>
        <v/>
      </c>
      <c r="H395" s="114" t="str">
        <f t="shared" si="57"/>
        <v/>
      </c>
      <c r="J395" s="113" t="str">
        <f t="shared" si="58"/>
        <v>-</v>
      </c>
      <c r="K395" s="113">
        <f t="shared" si="59"/>
        <v>0</v>
      </c>
      <c r="L395" s="114" t="str">
        <f t="shared" si="60"/>
        <v/>
      </c>
      <c r="V395" s="117" t="str">
        <f t="shared" si="54"/>
        <v xml:space="preserve">   </v>
      </c>
    </row>
    <row r="396" spans="5:22">
      <c r="E396" s="118" t="s">
        <v>64</v>
      </c>
      <c r="F396" s="113" t="str">
        <f t="shared" si="55"/>
        <v>-</v>
      </c>
      <c r="G396" s="114" t="str">
        <f t="shared" si="56"/>
        <v/>
      </c>
      <c r="H396" s="114" t="str">
        <f t="shared" si="57"/>
        <v/>
      </c>
      <c r="J396" s="113" t="str">
        <f t="shared" si="58"/>
        <v>-</v>
      </c>
      <c r="K396" s="113">
        <f t="shared" si="59"/>
        <v>0</v>
      </c>
      <c r="L396" s="114" t="str">
        <f t="shared" si="60"/>
        <v/>
      </c>
      <c r="V396" s="117" t="str">
        <f t="shared" si="54"/>
        <v xml:space="preserve">   </v>
      </c>
    </row>
    <row r="397" spans="5:22">
      <c r="E397" s="118" t="s">
        <v>64</v>
      </c>
      <c r="F397" s="113" t="str">
        <f t="shared" si="55"/>
        <v>-</v>
      </c>
      <c r="G397" s="114" t="str">
        <f t="shared" si="56"/>
        <v/>
      </c>
      <c r="H397" s="114" t="str">
        <f t="shared" si="57"/>
        <v/>
      </c>
      <c r="J397" s="113" t="str">
        <f t="shared" si="58"/>
        <v>-</v>
      </c>
      <c r="K397" s="113">
        <f t="shared" si="59"/>
        <v>0</v>
      </c>
      <c r="L397" s="114" t="str">
        <f t="shared" si="60"/>
        <v/>
      </c>
      <c r="V397" s="117" t="str">
        <f t="shared" si="54"/>
        <v xml:space="preserve">   </v>
      </c>
    </row>
    <row r="398" spans="5:22">
      <c r="E398" s="118" t="s">
        <v>64</v>
      </c>
      <c r="F398" s="113" t="str">
        <f t="shared" si="55"/>
        <v>-</v>
      </c>
      <c r="G398" s="114" t="str">
        <f t="shared" si="56"/>
        <v/>
      </c>
      <c r="H398" s="114" t="str">
        <f t="shared" si="57"/>
        <v/>
      </c>
      <c r="J398" s="113" t="str">
        <f t="shared" si="58"/>
        <v>-</v>
      </c>
      <c r="K398" s="113">
        <f t="shared" si="59"/>
        <v>0</v>
      </c>
      <c r="L398" s="114" t="str">
        <f t="shared" si="60"/>
        <v/>
      </c>
      <c r="V398" s="117" t="str">
        <f t="shared" si="54"/>
        <v xml:space="preserve">   </v>
      </c>
    </row>
    <row r="399" spans="5:22">
      <c r="E399" s="118" t="s">
        <v>64</v>
      </c>
      <c r="F399" s="113" t="str">
        <f t="shared" si="55"/>
        <v>-</v>
      </c>
      <c r="G399" s="114" t="str">
        <f t="shared" si="56"/>
        <v/>
      </c>
      <c r="H399" s="114" t="str">
        <f t="shared" si="57"/>
        <v/>
      </c>
      <c r="J399" s="113" t="str">
        <f t="shared" si="58"/>
        <v>-</v>
      </c>
      <c r="K399" s="113">
        <f t="shared" si="59"/>
        <v>0</v>
      </c>
      <c r="L399" s="114" t="str">
        <f t="shared" si="60"/>
        <v/>
      </c>
      <c r="V399" s="117" t="str">
        <f t="shared" si="54"/>
        <v xml:space="preserve">   </v>
      </c>
    </row>
    <row r="400" spans="5:22">
      <c r="E400" s="118" t="s">
        <v>64</v>
      </c>
      <c r="F400" s="113" t="str">
        <f t="shared" si="55"/>
        <v>-</v>
      </c>
      <c r="G400" s="114" t="str">
        <f t="shared" si="56"/>
        <v/>
      </c>
      <c r="H400" s="114" t="str">
        <f t="shared" si="57"/>
        <v/>
      </c>
      <c r="J400" s="113" t="str">
        <f t="shared" si="58"/>
        <v>-</v>
      </c>
      <c r="K400" s="113">
        <f t="shared" si="59"/>
        <v>0</v>
      </c>
      <c r="L400" s="114" t="str">
        <f t="shared" si="60"/>
        <v/>
      </c>
      <c r="V400" s="117" t="str">
        <f t="shared" si="54"/>
        <v xml:space="preserve">   </v>
      </c>
    </row>
    <row r="401" spans="5:22">
      <c r="E401" s="118" t="s">
        <v>64</v>
      </c>
      <c r="F401" s="113" t="str">
        <f t="shared" si="55"/>
        <v>-</v>
      </c>
      <c r="G401" s="114" t="str">
        <f t="shared" si="56"/>
        <v/>
      </c>
      <c r="H401" s="114" t="str">
        <f t="shared" si="57"/>
        <v/>
      </c>
      <c r="J401" s="113" t="str">
        <f t="shared" si="58"/>
        <v>-</v>
      </c>
      <c r="K401" s="113">
        <f t="shared" si="59"/>
        <v>0</v>
      </c>
      <c r="L401" s="114" t="str">
        <f t="shared" si="60"/>
        <v/>
      </c>
      <c r="V401" s="117" t="str">
        <f t="shared" si="54"/>
        <v xml:space="preserve">   </v>
      </c>
    </row>
    <row r="402" spans="5:22">
      <c r="E402" s="118" t="s">
        <v>64</v>
      </c>
      <c r="F402" s="113" t="str">
        <f t="shared" si="55"/>
        <v>-</v>
      </c>
      <c r="G402" s="114" t="str">
        <f t="shared" si="56"/>
        <v/>
      </c>
      <c r="H402" s="114" t="str">
        <f t="shared" si="57"/>
        <v/>
      </c>
      <c r="J402" s="113" t="str">
        <f t="shared" si="58"/>
        <v>-</v>
      </c>
      <c r="K402" s="113">
        <f t="shared" si="59"/>
        <v>0</v>
      </c>
      <c r="L402" s="114" t="str">
        <f t="shared" si="60"/>
        <v/>
      </c>
      <c r="V402" s="117" t="str">
        <f t="shared" si="54"/>
        <v xml:space="preserve">   </v>
      </c>
    </row>
    <row r="403" spans="5:22">
      <c r="E403" s="118" t="s">
        <v>64</v>
      </c>
      <c r="F403" s="113" t="str">
        <f t="shared" si="55"/>
        <v>-</v>
      </c>
      <c r="G403" s="114" t="str">
        <f t="shared" si="56"/>
        <v/>
      </c>
      <c r="H403" s="114" t="str">
        <f t="shared" si="57"/>
        <v/>
      </c>
      <c r="J403" s="113" t="str">
        <f t="shared" si="58"/>
        <v>-</v>
      </c>
      <c r="K403" s="113">
        <f t="shared" si="59"/>
        <v>0</v>
      </c>
      <c r="L403" s="114" t="str">
        <f t="shared" si="60"/>
        <v/>
      </c>
      <c r="V403" s="117" t="str">
        <f t="shared" si="54"/>
        <v xml:space="preserve">   </v>
      </c>
    </row>
    <row r="404" spans="5:22">
      <c r="E404" s="118" t="s">
        <v>64</v>
      </c>
      <c r="F404" s="113" t="str">
        <f t="shared" si="55"/>
        <v>-</v>
      </c>
      <c r="G404" s="114" t="str">
        <f t="shared" si="56"/>
        <v/>
      </c>
      <c r="H404" s="114" t="str">
        <f t="shared" si="57"/>
        <v/>
      </c>
      <c r="J404" s="113" t="str">
        <f t="shared" si="58"/>
        <v>-</v>
      </c>
      <c r="K404" s="113">
        <f t="shared" si="59"/>
        <v>0</v>
      </c>
      <c r="L404" s="114" t="str">
        <f t="shared" si="60"/>
        <v/>
      </c>
      <c r="V404" s="117" t="str">
        <f t="shared" si="54"/>
        <v xml:space="preserve">   </v>
      </c>
    </row>
    <row r="405" spans="5:22">
      <c r="E405" s="118" t="s">
        <v>64</v>
      </c>
      <c r="F405" s="113" t="str">
        <f t="shared" si="55"/>
        <v>-</v>
      </c>
      <c r="G405" s="114" t="str">
        <f t="shared" si="56"/>
        <v/>
      </c>
      <c r="H405" s="114" t="str">
        <f t="shared" si="57"/>
        <v/>
      </c>
      <c r="J405" s="113" t="str">
        <f t="shared" si="58"/>
        <v>-</v>
      </c>
      <c r="K405" s="113">
        <f t="shared" si="59"/>
        <v>0</v>
      </c>
      <c r="L405" s="114" t="str">
        <f t="shared" si="60"/>
        <v/>
      </c>
      <c r="V405" s="117" t="str">
        <f t="shared" si="54"/>
        <v xml:space="preserve">   </v>
      </c>
    </row>
    <row r="406" spans="5:22">
      <c r="E406" s="118" t="s">
        <v>64</v>
      </c>
      <c r="F406" s="113" t="str">
        <f t="shared" si="55"/>
        <v>-</v>
      </c>
      <c r="G406" s="114" t="str">
        <f t="shared" si="56"/>
        <v/>
      </c>
      <c r="H406" s="114" t="str">
        <f t="shared" si="57"/>
        <v/>
      </c>
      <c r="J406" s="113" t="str">
        <f t="shared" si="58"/>
        <v>-</v>
      </c>
      <c r="K406" s="113">
        <f t="shared" si="59"/>
        <v>0</v>
      </c>
      <c r="L406" s="114" t="str">
        <f t="shared" si="60"/>
        <v/>
      </c>
      <c r="V406" s="117" t="str">
        <f t="shared" si="54"/>
        <v xml:space="preserve">   </v>
      </c>
    </row>
    <row r="407" spans="5:22">
      <c r="E407" s="118" t="s">
        <v>64</v>
      </c>
      <c r="F407" s="113" t="str">
        <f t="shared" si="55"/>
        <v>-</v>
      </c>
      <c r="G407" s="114" t="str">
        <f t="shared" si="56"/>
        <v/>
      </c>
      <c r="H407" s="114" t="str">
        <f t="shared" si="57"/>
        <v/>
      </c>
      <c r="J407" s="113" t="str">
        <f t="shared" si="58"/>
        <v>-</v>
      </c>
      <c r="K407" s="113">
        <f t="shared" si="59"/>
        <v>0</v>
      </c>
      <c r="L407" s="114" t="str">
        <f t="shared" si="60"/>
        <v/>
      </c>
      <c r="V407" s="117" t="str">
        <f t="shared" si="54"/>
        <v xml:space="preserve">   </v>
      </c>
    </row>
    <row r="408" spans="5:22">
      <c r="E408" s="118" t="s">
        <v>64</v>
      </c>
      <c r="F408" s="113" t="str">
        <f t="shared" si="55"/>
        <v>-</v>
      </c>
      <c r="G408" s="114" t="str">
        <f t="shared" si="56"/>
        <v/>
      </c>
      <c r="H408" s="114" t="str">
        <f t="shared" si="57"/>
        <v/>
      </c>
      <c r="J408" s="113" t="str">
        <f t="shared" si="58"/>
        <v>-</v>
      </c>
      <c r="K408" s="113">
        <f t="shared" si="59"/>
        <v>0</v>
      </c>
      <c r="L408" s="114" t="str">
        <f t="shared" si="60"/>
        <v/>
      </c>
      <c r="V408" s="117" t="str">
        <f t="shared" si="54"/>
        <v xml:space="preserve">   </v>
      </c>
    </row>
    <row r="409" spans="5:22">
      <c r="E409" s="118" t="s">
        <v>64</v>
      </c>
      <c r="F409" s="113" t="str">
        <f t="shared" si="55"/>
        <v>-</v>
      </c>
      <c r="G409" s="114" t="str">
        <f t="shared" si="56"/>
        <v/>
      </c>
      <c r="H409" s="114" t="str">
        <f t="shared" si="57"/>
        <v/>
      </c>
      <c r="J409" s="113" t="str">
        <f t="shared" si="58"/>
        <v>-</v>
      </c>
      <c r="K409" s="113">
        <f t="shared" si="59"/>
        <v>0</v>
      </c>
      <c r="L409" s="114" t="str">
        <f t="shared" si="60"/>
        <v/>
      </c>
      <c r="V409" s="117" t="str">
        <f t="shared" si="54"/>
        <v xml:space="preserve">   </v>
      </c>
    </row>
    <row r="410" spans="5:22">
      <c r="E410" s="118" t="s">
        <v>64</v>
      </c>
      <c r="F410" s="113" t="str">
        <f t="shared" si="55"/>
        <v>-</v>
      </c>
      <c r="G410" s="114" t="str">
        <f t="shared" si="56"/>
        <v/>
      </c>
      <c r="H410" s="114" t="str">
        <f t="shared" si="57"/>
        <v/>
      </c>
      <c r="J410" s="113" t="str">
        <f t="shared" si="58"/>
        <v>-</v>
      </c>
      <c r="K410" s="113">
        <f t="shared" si="59"/>
        <v>0</v>
      </c>
      <c r="L410" s="114" t="str">
        <f t="shared" si="60"/>
        <v/>
      </c>
      <c r="V410" s="117" t="str">
        <f t="shared" si="54"/>
        <v xml:space="preserve">   </v>
      </c>
    </row>
    <row r="411" spans="5:22">
      <c r="E411" s="118" t="s">
        <v>64</v>
      </c>
      <c r="F411" s="113" t="str">
        <f t="shared" si="55"/>
        <v>-</v>
      </c>
      <c r="G411" s="114" t="str">
        <f t="shared" si="56"/>
        <v/>
      </c>
      <c r="H411" s="114" t="str">
        <f t="shared" si="57"/>
        <v/>
      </c>
      <c r="J411" s="113" t="str">
        <f t="shared" si="58"/>
        <v>-</v>
      </c>
      <c r="K411" s="113">
        <f t="shared" si="59"/>
        <v>0</v>
      </c>
      <c r="L411" s="114" t="str">
        <f t="shared" si="60"/>
        <v/>
      </c>
      <c r="V411" s="117" t="str">
        <f t="shared" si="54"/>
        <v xml:space="preserve">   </v>
      </c>
    </row>
    <row r="412" spans="5:22">
      <c r="E412" s="118" t="s">
        <v>64</v>
      </c>
      <c r="F412" s="113" t="str">
        <f t="shared" si="55"/>
        <v>-</v>
      </c>
      <c r="G412" s="114" t="str">
        <f t="shared" si="56"/>
        <v/>
      </c>
      <c r="H412" s="114" t="str">
        <f t="shared" si="57"/>
        <v/>
      </c>
      <c r="J412" s="113" t="str">
        <f t="shared" si="58"/>
        <v>-</v>
      </c>
      <c r="K412" s="113">
        <f t="shared" si="59"/>
        <v>0</v>
      </c>
      <c r="L412" s="114" t="str">
        <f t="shared" si="60"/>
        <v/>
      </c>
      <c r="V412" s="117" t="str">
        <f t="shared" si="54"/>
        <v xml:space="preserve">   </v>
      </c>
    </row>
    <row r="413" spans="5:22">
      <c r="E413" s="118" t="s">
        <v>64</v>
      </c>
      <c r="F413" s="113" t="str">
        <f t="shared" si="55"/>
        <v>-</v>
      </c>
      <c r="G413" s="114" t="str">
        <f t="shared" si="56"/>
        <v/>
      </c>
      <c r="H413" s="114" t="str">
        <f t="shared" si="57"/>
        <v/>
      </c>
      <c r="J413" s="113" t="str">
        <f t="shared" si="58"/>
        <v>-</v>
      </c>
      <c r="K413" s="113">
        <f t="shared" si="59"/>
        <v>0</v>
      </c>
      <c r="L413" s="114" t="str">
        <f t="shared" si="60"/>
        <v/>
      </c>
      <c r="V413" s="117" t="str">
        <f t="shared" si="54"/>
        <v xml:space="preserve">   </v>
      </c>
    </row>
    <row r="414" spans="5:22">
      <c r="E414" s="118" t="s">
        <v>64</v>
      </c>
      <c r="F414" s="113" t="str">
        <f t="shared" si="55"/>
        <v>-</v>
      </c>
      <c r="G414" s="114" t="str">
        <f t="shared" si="56"/>
        <v/>
      </c>
      <c r="H414" s="114" t="str">
        <f t="shared" si="57"/>
        <v/>
      </c>
      <c r="J414" s="113" t="str">
        <f t="shared" si="58"/>
        <v>-</v>
      </c>
      <c r="K414" s="113">
        <f t="shared" si="59"/>
        <v>0</v>
      </c>
      <c r="L414" s="114" t="str">
        <f t="shared" si="60"/>
        <v/>
      </c>
      <c r="V414" s="117" t="str">
        <f t="shared" si="54"/>
        <v xml:space="preserve">   </v>
      </c>
    </row>
    <row r="415" spans="5:22">
      <c r="E415" s="118" t="s">
        <v>64</v>
      </c>
      <c r="F415" s="113" t="str">
        <f t="shared" si="55"/>
        <v>-</v>
      </c>
      <c r="G415" s="114" t="str">
        <f t="shared" si="56"/>
        <v/>
      </c>
      <c r="H415" s="114" t="str">
        <f t="shared" si="57"/>
        <v/>
      </c>
      <c r="J415" s="113" t="str">
        <f t="shared" si="58"/>
        <v>-</v>
      </c>
      <c r="K415" s="113">
        <f t="shared" si="59"/>
        <v>0</v>
      </c>
      <c r="L415" s="114" t="str">
        <f t="shared" si="60"/>
        <v/>
      </c>
      <c r="V415" s="117" t="str">
        <f t="shared" si="54"/>
        <v xml:space="preserve">   </v>
      </c>
    </row>
    <row r="416" spans="5:22">
      <c r="E416" s="118" t="s">
        <v>64</v>
      </c>
      <c r="F416" s="113" t="str">
        <f t="shared" si="55"/>
        <v>-</v>
      </c>
      <c r="G416" s="114" t="str">
        <f t="shared" si="56"/>
        <v/>
      </c>
      <c r="H416" s="114" t="str">
        <f t="shared" si="57"/>
        <v/>
      </c>
      <c r="J416" s="113" t="str">
        <f t="shared" si="58"/>
        <v>-</v>
      </c>
      <c r="K416" s="113">
        <f t="shared" si="59"/>
        <v>0</v>
      </c>
      <c r="L416" s="114" t="str">
        <f t="shared" si="60"/>
        <v/>
      </c>
      <c r="V416" s="117" t="str">
        <f t="shared" si="54"/>
        <v xml:space="preserve">   </v>
      </c>
    </row>
    <row r="417" spans="5:22">
      <c r="E417" s="118" t="s">
        <v>64</v>
      </c>
      <c r="F417" s="113" t="str">
        <f t="shared" si="55"/>
        <v>-</v>
      </c>
      <c r="G417" s="114" t="str">
        <f t="shared" si="56"/>
        <v/>
      </c>
      <c r="H417" s="114" t="str">
        <f t="shared" si="57"/>
        <v/>
      </c>
      <c r="J417" s="113" t="str">
        <f t="shared" si="58"/>
        <v>-</v>
      </c>
      <c r="K417" s="113">
        <f t="shared" si="59"/>
        <v>0</v>
      </c>
      <c r="L417" s="114" t="str">
        <f t="shared" si="60"/>
        <v/>
      </c>
      <c r="V417" s="117" t="str">
        <f t="shared" si="54"/>
        <v xml:space="preserve">   </v>
      </c>
    </row>
    <row r="418" spans="5:22">
      <c r="E418" s="118" t="s">
        <v>64</v>
      </c>
      <c r="F418" s="113" t="str">
        <f t="shared" si="55"/>
        <v>-</v>
      </c>
      <c r="G418" s="114" t="str">
        <f t="shared" si="56"/>
        <v/>
      </c>
      <c r="H418" s="114" t="str">
        <f t="shared" si="57"/>
        <v/>
      </c>
      <c r="J418" s="113" t="str">
        <f t="shared" si="58"/>
        <v>-</v>
      </c>
      <c r="K418" s="113">
        <f t="shared" si="59"/>
        <v>0</v>
      </c>
      <c r="L418" s="114" t="str">
        <f t="shared" si="60"/>
        <v/>
      </c>
      <c r="V418" s="117" t="str">
        <f t="shared" si="54"/>
        <v xml:space="preserve">   </v>
      </c>
    </row>
    <row r="419" spans="5:22">
      <c r="E419" s="118" t="s">
        <v>64</v>
      </c>
      <c r="F419" s="113" t="str">
        <f t="shared" si="55"/>
        <v>-</v>
      </c>
      <c r="G419" s="114" t="str">
        <f t="shared" si="56"/>
        <v/>
      </c>
      <c r="H419" s="114" t="str">
        <f t="shared" si="57"/>
        <v/>
      </c>
      <c r="J419" s="113" t="str">
        <f t="shared" si="58"/>
        <v>-</v>
      </c>
      <c r="K419" s="113">
        <f t="shared" si="59"/>
        <v>0</v>
      </c>
      <c r="L419" s="114" t="str">
        <f t="shared" si="60"/>
        <v/>
      </c>
      <c r="V419" s="117" t="str">
        <f t="shared" si="54"/>
        <v xml:space="preserve">   </v>
      </c>
    </row>
    <row r="420" spans="5:22">
      <c r="E420" s="118" t="s">
        <v>64</v>
      </c>
      <c r="F420" s="113" t="str">
        <f t="shared" si="55"/>
        <v>-</v>
      </c>
      <c r="G420" s="114" t="str">
        <f t="shared" si="56"/>
        <v/>
      </c>
      <c r="H420" s="114" t="str">
        <f t="shared" si="57"/>
        <v/>
      </c>
      <c r="J420" s="113" t="str">
        <f t="shared" si="58"/>
        <v>-</v>
      </c>
      <c r="K420" s="113">
        <f t="shared" si="59"/>
        <v>0</v>
      </c>
      <c r="L420" s="114" t="str">
        <f t="shared" si="60"/>
        <v/>
      </c>
      <c r="V420" s="117" t="str">
        <f t="shared" si="54"/>
        <v xml:space="preserve">   </v>
      </c>
    </row>
    <row r="421" spans="5:22">
      <c r="E421" s="118" t="s">
        <v>64</v>
      </c>
      <c r="F421" s="113" t="str">
        <f t="shared" si="55"/>
        <v>-</v>
      </c>
      <c r="G421" s="114" t="str">
        <f t="shared" si="56"/>
        <v/>
      </c>
      <c r="H421" s="114" t="str">
        <f t="shared" si="57"/>
        <v/>
      </c>
      <c r="J421" s="113" t="str">
        <f t="shared" si="58"/>
        <v>-</v>
      </c>
      <c r="K421" s="113">
        <f t="shared" si="59"/>
        <v>0</v>
      </c>
      <c r="L421" s="114" t="str">
        <f t="shared" si="60"/>
        <v/>
      </c>
      <c r="V421" s="117" t="str">
        <f t="shared" si="54"/>
        <v xml:space="preserve">   </v>
      </c>
    </row>
    <row r="422" spans="5:22">
      <c r="E422" s="118" t="s">
        <v>64</v>
      </c>
      <c r="F422" s="113" t="str">
        <f t="shared" si="55"/>
        <v>-</v>
      </c>
      <c r="G422" s="114" t="str">
        <f t="shared" si="56"/>
        <v/>
      </c>
      <c r="H422" s="114" t="str">
        <f t="shared" si="57"/>
        <v/>
      </c>
      <c r="J422" s="113" t="str">
        <f t="shared" si="58"/>
        <v>-</v>
      </c>
      <c r="K422" s="113">
        <f t="shared" si="59"/>
        <v>0</v>
      </c>
      <c r="L422" s="114" t="str">
        <f t="shared" si="60"/>
        <v/>
      </c>
      <c r="V422" s="117" t="str">
        <f t="shared" si="54"/>
        <v xml:space="preserve">   </v>
      </c>
    </row>
    <row r="423" spans="5:22">
      <c r="E423" s="118" t="s">
        <v>64</v>
      </c>
      <c r="F423" s="113" t="str">
        <f t="shared" si="55"/>
        <v>-</v>
      </c>
      <c r="G423" s="114" t="str">
        <f t="shared" si="56"/>
        <v/>
      </c>
      <c r="H423" s="114" t="str">
        <f t="shared" si="57"/>
        <v/>
      </c>
      <c r="J423" s="113" t="str">
        <f t="shared" si="58"/>
        <v>-</v>
      </c>
      <c r="K423" s="113">
        <f t="shared" si="59"/>
        <v>0</v>
      </c>
      <c r="L423" s="114" t="str">
        <f t="shared" si="60"/>
        <v/>
      </c>
      <c r="V423" s="117" t="str">
        <f t="shared" si="54"/>
        <v xml:space="preserve">   </v>
      </c>
    </row>
    <row r="424" spans="5:22">
      <c r="E424" s="118" t="s">
        <v>64</v>
      </c>
      <c r="F424" s="113" t="str">
        <f t="shared" si="55"/>
        <v>-</v>
      </c>
      <c r="G424" s="114" t="str">
        <f t="shared" si="56"/>
        <v/>
      </c>
      <c r="H424" s="114" t="str">
        <f t="shared" si="57"/>
        <v/>
      </c>
      <c r="J424" s="113" t="str">
        <f t="shared" si="58"/>
        <v>-</v>
      </c>
      <c r="K424" s="113">
        <f t="shared" si="59"/>
        <v>0</v>
      </c>
      <c r="L424" s="114" t="str">
        <f t="shared" si="60"/>
        <v/>
      </c>
      <c r="V424" s="117" t="str">
        <f t="shared" si="54"/>
        <v xml:space="preserve">   </v>
      </c>
    </row>
    <row r="425" spans="5:22">
      <c r="E425" s="118" t="s">
        <v>64</v>
      </c>
      <c r="F425" s="113" t="str">
        <f t="shared" si="55"/>
        <v>-</v>
      </c>
      <c r="G425" s="114" t="str">
        <f t="shared" si="56"/>
        <v/>
      </c>
      <c r="H425" s="114" t="str">
        <f t="shared" si="57"/>
        <v/>
      </c>
      <c r="J425" s="113" t="str">
        <f t="shared" si="58"/>
        <v>-</v>
      </c>
      <c r="K425" s="113">
        <f t="shared" si="59"/>
        <v>0</v>
      </c>
      <c r="L425" s="114" t="str">
        <f t="shared" si="60"/>
        <v/>
      </c>
      <c r="V425" s="117" t="str">
        <f t="shared" si="54"/>
        <v xml:space="preserve">   </v>
      </c>
    </row>
    <row r="426" spans="5:22">
      <c r="E426" s="118" t="s">
        <v>64</v>
      </c>
      <c r="F426" s="113" t="str">
        <f t="shared" si="55"/>
        <v>-</v>
      </c>
      <c r="G426" s="114" t="str">
        <f t="shared" si="56"/>
        <v/>
      </c>
      <c r="H426" s="114" t="str">
        <f t="shared" si="57"/>
        <v/>
      </c>
      <c r="J426" s="113" t="str">
        <f t="shared" si="58"/>
        <v>-</v>
      </c>
      <c r="K426" s="113">
        <f t="shared" si="59"/>
        <v>0</v>
      </c>
      <c r="L426" s="114" t="str">
        <f t="shared" si="60"/>
        <v/>
      </c>
      <c r="V426" s="117" t="str">
        <f t="shared" si="54"/>
        <v xml:space="preserve">   </v>
      </c>
    </row>
    <row r="427" spans="5:22">
      <c r="E427" s="118" t="s">
        <v>64</v>
      </c>
      <c r="F427" s="113" t="str">
        <f t="shared" si="55"/>
        <v>-</v>
      </c>
      <c r="G427" s="114" t="str">
        <f t="shared" si="56"/>
        <v/>
      </c>
      <c r="H427" s="114" t="str">
        <f t="shared" si="57"/>
        <v/>
      </c>
      <c r="J427" s="113" t="str">
        <f t="shared" si="58"/>
        <v>-</v>
      </c>
      <c r="K427" s="113">
        <f t="shared" si="59"/>
        <v>0</v>
      </c>
      <c r="L427" s="114" t="str">
        <f t="shared" si="60"/>
        <v/>
      </c>
      <c r="V427" s="117" t="str">
        <f t="shared" si="54"/>
        <v xml:space="preserve">   </v>
      </c>
    </row>
    <row r="428" spans="5:22">
      <c r="E428" s="118" t="s">
        <v>64</v>
      </c>
      <c r="F428" s="113" t="str">
        <f t="shared" si="55"/>
        <v>-</v>
      </c>
      <c r="G428" s="114" t="str">
        <f t="shared" si="56"/>
        <v/>
      </c>
      <c r="H428" s="114" t="str">
        <f t="shared" si="57"/>
        <v/>
      </c>
      <c r="J428" s="113" t="str">
        <f t="shared" si="58"/>
        <v>-</v>
      </c>
      <c r="K428" s="113">
        <f t="shared" si="59"/>
        <v>0</v>
      </c>
      <c r="L428" s="114" t="str">
        <f t="shared" si="60"/>
        <v/>
      </c>
      <c r="V428" s="117" t="str">
        <f t="shared" si="54"/>
        <v xml:space="preserve">   </v>
      </c>
    </row>
    <row r="429" spans="5:22">
      <c r="E429" s="118" t="s">
        <v>64</v>
      </c>
      <c r="F429" s="113" t="str">
        <f t="shared" si="55"/>
        <v>-</v>
      </c>
      <c r="G429" s="114" t="str">
        <f t="shared" si="56"/>
        <v/>
      </c>
      <c r="H429" s="114" t="str">
        <f t="shared" si="57"/>
        <v/>
      </c>
      <c r="J429" s="113" t="str">
        <f t="shared" si="58"/>
        <v>-</v>
      </c>
      <c r="K429" s="113">
        <f t="shared" si="59"/>
        <v>0</v>
      </c>
      <c r="L429" s="114" t="str">
        <f t="shared" si="60"/>
        <v/>
      </c>
      <c r="V429" s="117" t="str">
        <f t="shared" si="54"/>
        <v xml:space="preserve">   </v>
      </c>
    </row>
    <row r="430" spans="5:22">
      <c r="E430" s="118" t="s">
        <v>64</v>
      </c>
      <c r="F430" s="113" t="str">
        <f t="shared" si="55"/>
        <v>-</v>
      </c>
      <c r="G430" s="114" t="str">
        <f t="shared" si="56"/>
        <v/>
      </c>
      <c r="H430" s="114" t="str">
        <f t="shared" si="57"/>
        <v/>
      </c>
      <c r="J430" s="113" t="str">
        <f t="shared" si="58"/>
        <v>-</v>
      </c>
      <c r="K430" s="113">
        <f t="shared" si="59"/>
        <v>0</v>
      </c>
      <c r="L430" s="114" t="str">
        <f t="shared" si="60"/>
        <v/>
      </c>
      <c r="V430" s="117" t="str">
        <f t="shared" si="54"/>
        <v xml:space="preserve">   </v>
      </c>
    </row>
    <row r="431" spans="5:22">
      <c r="E431" s="118" t="s">
        <v>64</v>
      </c>
      <c r="F431" s="113" t="str">
        <f t="shared" si="55"/>
        <v>-</v>
      </c>
      <c r="G431" s="114" t="str">
        <f t="shared" si="56"/>
        <v/>
      </c>
      <c r="H431" s="114" t="str">
        <f t="shared" si="57"/>
        <v/>
      </c>
      <c r="J431" s="113" t="str">
        <f t="shared" si="58"/>
        <v>-</v>
      </c>
      <c r="K431" s="113">
        <f t="shared" si="59"/>
        <v>0</v>
      </c>
      <c r="L431" s="114" t="str">
        <f t="shared" si="60"/>
        <v/>
      </c>
      <c r="V431" s="117" t="str">
        <f t="shared" si="54"/>
        <v xml:space="preserve">   </v>
      </c>
    </row>
    <row r="432" spans="5:22">
      <c r="E432" s="118" t="s">
        <v>64</v>
      </c>
      <c r="F432" s="113" t="str">
        <f t="shared" si="55"/>
        <v>-</v>
      </c>
      <c r="G432" s="114" t="str">
        <f t="shared" si="56"/>
        <v/>
      </c>
      <c r="H432" s="114" t="str">
        <f t="shared" si="57"/>
        <v/>
      </c>
      <c r="J432" s="113" t="str">
        <f t="shared" si="58"/>
        <v>-</v>
      </c>
      <c r="K432" s="113">
        <f t="shared" si="59"/>
        <v>0</v>
      </c>
      <c r="L432" s="114" t="str">
        <f t="shared" si="60"/>
        <v/>
      </c>
      <c r="V432" s="117" t="str">
        <f t="shared" si="54"/>
        <v xml:space="preserve">   </v>
      </c>
    </row>
    <row r="433" spans="5:22">
      <c r="E433" s="118" t="s">
        <v>64</v>
      </c>
      <c r="F433" s="113" t="str">
        <f t="shared" si="55"/>
        <v>-</v>
      </c>
      <c r="G433" s="114" t="str">
        <f t="shared" si="56"/>
        <v/>
      </c>
      <c r="H433" s="114" t="str">
        <f t="shared" si="57"/>
        <v/>
      </c>
      <c r="J433" s="113" t="str">
        <f t="shared" si="58"/>
        <v>-</v>
      </c>
      <c r="K433" s="113">
        <f t="shared" si="59"/>
        <v>0</v>
      </c>
      <c r="L433" s="114" t="str">
        <f t="shared" si="60"/>
        <v/>
      </c>
      <c r="V433" s="117" t="str">
        <f t="shared" si="54"/>
        <v xml:space="preserve">   </v>
      </c>
    </row>
    <row r="434" spans="5:22">
      <c r="E434" s="118" t="s">
        <v>64</v>
      </c>
      <c r="F434" s="113" t="str">
        <f t="shared" si="55"/>
        <v>-</v>
      </c>
      <c r="G434" s="114" t="str">
        <f t="shared" si="56"/>
        <v/>
      </c>
      <c r="H434" s="114" t="str">
        <f t="shared" si="57"/>
        <v/>
      </c>
      <c r="J434" s="113" t="str">
        <f t="shared" si="58"/>
        <v>-</v>
      </c>
      <c r="K434" s="113">
        <f t="shared" si="59"/>
        <v>0</v>
      </c>
      <c r="L434" s="114" t="str">
        <f t="shared" si="60"/>
        <v/>
      </c>
      <c r="V434" s="117" t="str">
        <f t="shared" si="54"/>
        <v xml:space="preserve">   </v>
      </c>
    </row>
    <row r="435" spans="5:22">
      <c r="E435" s="118" t="s">
        <v>64</v>
      </c>
      <c r="F435" s="113" t="str">
        <f t="shared" si="55"/>
        <v>-</v>
      </c>
      <c r="G435" s="114" t="str">
        <f t="shared" si="56"/>
        <v/>
      </c>
      <c r="H435" s="114" t="str">
        <f t="shared" si="57"/>
        <v/>
      </c>
      <c r="J435" s="113" t="str">
        <f t="shared" si="58"/>
        <v>-</v>
      </c>
      <c r="K435" s="113">
        <f t="shared" si="59"/>
        <v>0</v>
      </c>
      <c r="L435" s="114" t="str">
        <f t="shared" si="60"/>
        <v/>
      </c>
      <c r="V435" s="117" t="str">
        <f t="shared" si="54"/>
        <v xml:space="preserve">   </v>
      </c>
    </row>
    <row r="436" spans="5:22">
      <c r="E436" s="118" t="s">
        <v>64</v>
      </c>
      <c r="F436" s="113" t="str">
        <f t="shared" si="55"/>
        <v>-</v>
      </c>
      <c r="G436" s="114" t="str">
        <f t="shared" si="56"/>
        <v/>
      </c>
      <c r="H436" s="114" t="str">
        <f t="shared" si="57"/>
        <v/>
      </c>
      <c r="J436" s="113" t="str">
        <f t="shared" si="58"/>
        <v>-</v>
      </c>
      <c r="K436" s="113">
        <f t="shared" si="59"/>
        <v>0</v>
      </c>
      <c r="L436" s="114" t="str">
        <f t="shared" si="60"/>
        <v/>
      </c>
      <c r="V436" s="117" t="str">
        <f t="shared" si="54"/>
        <v xml:space="preserve">   </v>
      </c>
    </row>
    <row r="437" spans="5:22">
      <c r="E437" s="118" t="s">
        <v>64</v>
      </c>
      <c r="F437" s="113" t="str">
        <f t="shared" si="55"/>
        <v>-</v>
      </c>
      <c r="G437" s="114" t="str">
        <f t="shared" si="56"/>
        <v/>
      </c>
      <c r="H437" s="114" t="str">
        <f t="shared" si="57"/>
        <v/>
      </c>
      <c r="J437" s="113" t="str">
        <f t="shared" si="58"/>
        <v>-</v>
      </c>
      <c r="K437" s="113">
        <f t="shared" si="59"/>
        <v>0</v>
      </c>
      <c r="L437" s="114" t="str">
        <f t="shared" si="60"/>
        <v/>
      </c>
      <c r="V437" s="117" t="str">
        <f t="shared" si="54"/>
        <v xml:space="preserve">   </v>
      </c>
    </row>
    <row r="438" spans="5:22">
      <c r="E438" s="118" t="s">
        <v>64</v>
      </c>
      <c r="F438" s="113" t="str">
        <f t="shared" si="55"/>
        <v>-</v>
      </c>
      <c r="G438" s="114" t="str">
        <f t="shared" si="56"/>
        <v/>
      </c>
      <c r="H438" s="114" t="str">
        <f t="shared" si="57"/>
        <v/>
      </c>
      <c r="J438" s="113" t="str">
        <f t="shared" si="58"/>
        <v>-</v>
      </c>
      <c r="K438" s="113">
        <f t="shared" si="59"/>
        <v>0</v>
      </c>
      <c r="L438" s="114" t="str">
        <f t="shared" si="60"/>
        <v/>
      </c>
      <c r="V438" s="117" t="str">
        <f t="shared" si="54"/>
        <v xml:space="preserve">   </v>
      </c>
    </row>
    <row r="439" spans="5:22">
      <c r="E439" s="118" t="s">
        <v>64</v>
      </c>
      <c r="F439" s="113" t="str">
        <f t="shared" si="55"/>
        <v>-</v>
      </c>
      <c r="G439" s="114" t="str">
        <f t="shared" si="56"/>
        <v/>
      </c>
      <c r="H439" s="114" t="str">
        <f t="shared" si="57"/>
        <v/>
      </c>
      <c r="J439" s="113" t="str">
        <f t="shared" si="58"/>
        <v>-</v>
      </c>
      <c r="K439" s="113">
        <f t="shared" si="59"/>
        <v>0</v>
      </c>
      <c r="L439" s="114" t="str">
        <f t="shared" si="60"/>
        <v/>
      </c>
      <c r="V439" s="117" t="str">
        <f t="shared" si="54"/>
        <v xml:space="preserve">   </v>
      </c>
    </row>
    <row r="440" spans="5:22">
      <c r="E440" s="118" t="s">
        <v>64</v>
      </c>
      <c r="F440" s="113" t="str">
        <f t="shared" si="55"/>
        <v>-</v>
      </c>
      <c r="G440" s="114" t="str">
        <f t="shared" si="56"/>
        <v/>
      </c>
      <c r="H440" s="114" t="str">
        <f t="shared" si="57"/>
        <v/>
      </c>
      <c r="J440" s="113" t="str">
        <f t="shared" si="58"/>
        <v>-</v>
      </c>
      <c r="K440" s="113">
        <f t="shared" si="59"/>
        <v>0</v>
      </c>
      <c r="L440" s="114" t="str">
        <f t="shared" si="60"/>
        <v/>
      </c>
      <c r="V440" s="117" t="str">
        <f t="shared" si="54"/>
        <v xml:space="preserve">   </v>
      </c>
    </row>
    <row r="441" spans="5:22">
      <c r="E441" s="118" t="s">
        <v>64</v>
      </c>
      <c r="F441" s="113" t="str">
        <f t="shared" si="55"/>
        <v>-</v>
      </c>
      <c r="G441" s="114" t="str">
        <f t="shared" si="56"/>
        <v/>
      </c>
      <c r="H441" s="114" t="str">
        <f t="shared" si="57"/>
        <v/>
      </c>
      <c r="J441" s="113" t="str">
        <f t="shared" si="58"/>
        <v>-</v>
      </c>
      <c r="K441" s="113">
        <f t="shared" si="59"/>
        <v>0</v>
      </c>
      <c r="L441" s="114" t="str">
        <f t="shared" si="60"/>
        <v/>
      </c>
      <c r="V441" s="117" t="str">
        <f t="shared" si="54"/>
        <v xml:space="preserve">   </v>
      </c>
    </row>
    <row r="442" spans="5:22">
      <c r="E442" s="118" t="s">
        <v>64</v>
      </c>
      <c r="F442" s="113" t="str">
        <f t="shared" si="55"/>
        <v>-</v>
      </c>
      <c r="G442" s="114" t="str">
        <f t="shared" si="56"/>
        <v/>
      </c>
      <c r="H442" s="114" t="str">
        <f t="shared" si="57"/>
        <v/>
      </c>
      <c r="J442" s="113" t="str">
        <f t="shared" si="58"/>
        <v>-</v>
      </c>
      <c r="K442" s="113">
        <f t="shared" si="59"/>
        <v>0</v>
      </c>
      <c r="L442" s="114" t="str">
        <f t="shared" si="60"/>
        <v/>
      </c>
      <c r="V442" s="117" t="str">
        <f t="shared" si="54"/>
        <v xml:space="preserve">   </v>
      </c>
    </row>
    <row r="443" spans="5:22">
      <c r="E443" s="118" t="s">
        <v>64</v>
      </c>
      <c r="F443" s="113" t="str">
        <f t="shared" si="55"/>
        <v>-</v>
      </c>
      <c r="G443" s="114" t="str">
        <f t="shared" si="56"/>
        <v/>
      </c>
      <c r="H443" s="114" t="str">
        <f t="shared" si="57"/>
        <v/>
      </c>
      <c r="J443" s="113" t="str">
        <f t="shared" si="58"/>
        <v>-</v>
      </c>
      <c r="K443" s="113">
        <f t="shared" si="59"/>
        <v>0</v>
      </c>
      <c r="L443" s="114" t="str">
        <f t="shared" si="60"/>
        <v/>
      </c>
      <c r="V443" s="117" t="str">
        <f t="shared" si="54"/>
        <v xml:space="preserve">   </v>
      </c>
    </row>
    <row r="444" spans="5:22">
      <c r="E444" s="118" t="s">
        <v>64</v>
      </c>
      <c r="F444" s="113" t="str">
        <f t="shared" si="55"/>
        <v>-</v>
      </c>
      <c r="G444" s="114" t="str">
        <f t="shared" si="56"/>
        <v/>
      </c>
      <c r="H444" s="114" t="str">
        <f t="shared" si="57"/>
        <v/>
      </c>
      <c r="J444" s="113" t="str">
        <f t="shared" si="58"/>
        <v>-</v>
      </c>
      <c r="K444" s="113">
        <f t="shared" si="59"/>
        <v>0</v>
      </c>
      <c r="L444" s="114" t="str">
        <f t="shared" si="60"/>
        <v/>
      </c>
      <c r="V444" s="117" t="str">
        <f t="shared" si="54"/>
        <v xml:space="preserve">   </v>
      </c>
    </row>
    <row r="445" spans="5:22">
      <c r="E445" s="118" t="s">
        <v>64</v>
      </c>
      <c r="F445" s="113" t="str">
        <f t="shared" si="55"/>
        <v>-</v>
      </c>
      <c r="G445" s="114" t="str">
        <f t="shared" si="56"/>
        <v/>
      </c>
      <c r="H445" s="114" t="str">
        <f t="shared" si="57"/>
        <v/>
      </c>
      <c r="J445" s="113" t="str">
        <f t="shared" si="58"/>
        <v>-</v>
      </c>
      <c r="K445" s="113">
        <f t="shared" si="59"/>
        <v>0</v>
      </c>
      <c r="L445" s="114" t="str">
        <f t="shared" si="60"/>
        <v/>
      </c>
      <c r="V445" s="117" t="str">
        <f t="shared" si="54"/>
        <v xml:space="preserve">   </v>
      </c>
    </row>
    <row r="446" spans="5:22">
      <c r="E446" s="118" t="s">
        <v>64</v>
      </c>
      <c r="F446" s="113" t="str">
        <f t="shared" si="55"/>
        <v>-</v>
      </c>
      <c r="G446" s="114" t="str">
        <f t="shared" si="56"/>
        <v/>
      </c>
      <c r="H446" s="114" t="str">
        <f t="shared" si="57"/>
        <v/>
      </c>
      <c r="J446" s="113" t="str">
        <f t="shared" si="58"/>
        <v>-</v>
      </c>
      <c r="K446" s="113">
        <f t="shared" si="59"/>
        <v>0</v>
      </c>
      <c r="L446" s="114" t="str">
        <f t="shared" si="60"/>
        <v/>
      </c>
      <c r="V446" s="117" t="str">
        <f t="shared" si="54"/>
        <v xml:space="preserve">   </v>
      </c>
    </row>
    <row r="447" spans="5:22">
      <c r="E447" s="118" t="s">
        <v>64</v>
      </c>
      <c r="F447" s="113" t="str">
        <f t="shared" si="55"/>
        <v>-</v>
      </c>
      <c r="G447" s="114" t="str">
        <f t="shared" si="56"/>
        <v/>
      </c>
      <c r="H447" s="114" t="str">
        <f t="shared" si="57"/>
        <v/>
      </c>
      <c r="J447" s="113" t="str">
        <f t="shared" si="58"/>
        <v>-</v>
      </c>
      <c r="K447" s="113">
        <f t="shared" si="59"/>
        <v>0</v>
      </c>
      <c r="L447" s="114" t="str">
        <f t="shared" si="60"/>
        <v/>
      </c>
      <c r="V447" s="117" t="str">
        <f t="shared" si="54"/>
        <v xml:space="preserve">   </v>
      </c>
    </row>
    <row r="448" spans="5:22">
      <c r="E448" s="118" t="s">
        <v>64</v>
      </c>
      <c r="F448" s="113" t="str">
        <f t="shared" si="55"/>
        <v>-</v>
      </c>
      <c r="G448" s="114" t="str">
        <f t="shared" si="56"/>
        <v/>
      </c>
      <c r="H448" s="114" t="str">
        <f t="shared" si="57"/>
        <v/>
      </c>
      <c r="J448" s="113" t="str">
        <f t="shared" si="58"/>
        <v>-</v>
      </c>
      <c r="K448" s="113">
        <f t="shared" si="59"/>
        <v>0</v>
      </c>
      <c r="L448" s="114" t="str">
        <f t="shared" si="60"/>
        <v/>
      </c>
      <c r="V448" s="117" t="str">
        <f t="shared" si="54"/>
        <v xml:space="preserve">   </v>
      </c>
    </row>
    <row r="449" spans="5:22">
      <c r="E449" s="118" t="s">
        <v>64</v>
      </c>
      <c r="F449" s="113" t="str">
        <f t="shared" si="55"/>
        <v>-</v>
      </c>
      <c r="G449" s="114" t="str">
        <f t="shared" si="56"/>
        <v/>
      </c>
      <c r="H449" s="114" t="str">
        <f t="shared" si="57"/>
        <v/>
      </c>
      <c r="J449" s="113" t="str">
        <f t="shared" si="58"/>
        <v>-</v>
      </c>
      <c r="K449" s="113">
        <f t="shared" si="59"/>
        <v>0</v>
      </c>
      <c r="L449" s="114" t="str">
        <f t="shared" si="60"/>
        <v/>
      </c>
      <c r="V449" s="117" t="str">
        <f t="shared" si="54"/>
        <v xml:space="preserve">   </v>
      </c>
    </row>
    <row r="450" spans="5:22">
      <c r="E450" s="118" t="s">
        <v>64</v>
      </c>
      <c r="F450" s="113" t="str">
        <f t="shared" si="55"/>
        <v>-</v>
      </c>
      <c r="G450" s="114" t="str">
        <f t="shared" si="56"/>
        <v/>
      </c>
      <c r="H450" s="114" t="str">
        <f t="shared" si="57"/>
        <v/>
      </c>
      <c r="J450" s="113" t="str">
        <f t="shared" si="58"/>
        <v>-</v>
      </c>
      <c r="K450" s="113">
        <f t="shared" si="59"/>
        <v>0</v>
      </c>
      <c r="L450" s="114" t="str">
        <f t="shared" si="60"/>
        <v/>
      </c>
      <c r="V450" s="117" t="str">
        <f t="shared" si="54"/>
        <v xml:space="preserve">   </v>
      </c>
    </row>
    <row r="451" spans="5:22">
      <c r="E451" s="118" t="s">
        <v>64</v>
      </c>
      <c r="F451" s="113" t="str">
        <f t="shared" si="55"/>
        <v>-</v>
      </c>
      <c r="G451" s="114" t="str">
        <f t="shared" si="56"/>
        <v/>
      </c>
      <c r="H451" s="114" t="str">
        <f t="shared" si="57"/>
        <v/>
      </c>
      <c r="J451" s="113" t="str">
        <f t="shared" si="58"/>
        <v>-</v>
      </c>
      <c r="K451" s="113">
        <f t="shared" si="59"/>
        <v>0</v>
      </c>
      <c r="L451" s="114" t="str">
        <f t="shared" si="60"/>
        <v/>
      </c>
      <c r="V451" s="117" t="str">
        <f t="shared" si="54"/>
        <v xml:space="preserve">   </v>
      </c>
    </row>
    <row r="452" spans="5:22">
      <c r="E452" s="118" t="s">
        <v>64</v>
      </c>
      <c r="F452" s="113" t="str">
        <f t="shared" si="55"/>
        <v>-</v>
      </c>
      <c r="G452" s="114" t="str">
        <f t="shared" si="56"/>
        <v/>
      </c>
      <c r="H452" s="114" t="str">
        <f t="shared" si="57"/>
        <v/>
      </c>
      <c r="J452" s="113" t="str">
        <f t="shared" si="58"/>
        <v>-</v>
      </c>
      <c r="K452" s="113">
        <f t="shared" si="59"/>
        <v>0</v>
      </c>
      <c r="L452" s="114" t="str">
        <f t="shared" si="60"/>
        <v/>
      </c>
      <c r="V452" s="117" t="str">
        <f t="shared" si="54"/>
        <v xml:space="preserve">   </v>
      </c>
    </row>
    <row r="453" spans="5:22">
      <c r="E453" s="118" t="s">
        <v>64</v>
      </c>
      <c r="F453" s="113" t="str">
        <f t="shared" si="55"/>
        <v>-</v>
      </c>
      <c r="G453" s="114" t="str">
        <f t="shared" si="56"/>
        <v/>
      </c>
      <c r="H453" s="114" t="str">
        <f t="shared" si="57"/>
        <v/>
      </c>
      <c r="J453" s="113" t="str">
        <f t="shared" si="58"/>
        <v>-</v>
      </c>
      <c r="K453" s="113">
        <f t="shared" si="59"/>
        <v>0</v>
      </c>
      <c r="L453" s="114" t="str">
        <f t="shared" si="60"/>
        <v/>
      </c>
      <c r="V453" s="117" t="str">
        <f t="shared" si="54"/>
        <v xml:space="preserve">   </v>
      </c>
    </row>
    <row r="454" spans="5:22">
      <c r="E454" s="118" t="s">
        <v>64</v>
      </c>
      <c r="F454" s="113" t="str">
        <f t="shared" si="55"/>
        <v>-</v>
      </c>
      <c r="G454" s="114" t="str">
        <f t="shared" si="56"/>
        <v/>
      </c>
      <c r="H454" s="114" t="str">
        <f t="shared" si="57"/>
        <v/>
      </c>
      <c r="J454" s="113" t="str">
        <f t="shared" si="58"/>
        <v>-</v>
      </c>
      <c r="K454" s="113">
        <f t="shared" si="59"/>
        <v>0</v>
      </c>
      <c r="L454" s="114" t="str">
        <f t="shared" si="60"/>
        <v/>
      </c>
      <c r="V454" s="117" t="str">
        <f t="shared" ref="V454:V517" si="61">CONCATENATE(A454," ",B454," ",C454," ",D454)</f>
        <v xml:space="preserve">   </v>
      </c>
    </row>
    <row r="455" spans="5:22">
      <c r="E455" s="118" t="s">
        <v>64</v>
      </c>
      <c r="F455" s="113" t="str">
        <f t="shared" si="55"/>
        <v>-</v>
      </c>
      <c r="G455" s="114" t="str">
        <f t="shared" si="56"/>
        <v/>
      </c>
      <c r="H455" s="114" t="str">
        <f t="shared" si="57"/>
        <v/>
      </c>
      <c r="J455" s="113" t="str">
        <f t="shared" si="58"/>
        <v>-</v>
      </c>
      <c r="K455" s="113">
        <f t="shared" si="59"/>
        <v>0</v>
      </c>
      <c r="L455" s="114" t="str">
        <f t="shared" si="60"/>
        <v/>
      </c>
      <c r="V455" s="117" t="str">
        <f t="shared" si="61"/>
        <v xml:space="preserve">   </v>
      </c>
    </row>
    <row r="456" spans="5:22">
      <c r="E456" s="118" t="s">
        <v>64</v>
      </c>
      <c r="F456" s="113" t="str">
        <f t="shared" si="55"/>
        <v>-</v>
      </c>
      <c r="G456" s="114" t="str">
        <f t="shared" si="56"/>
        <v/>
      </c>
      <c r="H456" s="114" t="str">
        <f t="shared" si="57"/>
        <v/>
      </c>
      <c r="J456" s="113" t="str">
        <f t="shared" si="58"/>
        <v>-</v>
      </c>
      <c r="K456" s="113">
        <f t="shared" si="59"/>
        <v>0</v>
      </c>
      <c r="L456" s="114" t="str">
        <f t="shared" si="60"/>
        <v/>
      </c>
      <c r="V456" s="117" t="str">
        <f t="shared" si="61"/>
        <v xml:space="preserve">   </v>
      </c>
    </row>
    <row r="457" spans="5:22">
      <c r="E457" s="118" t="s">
        <v>64</v>
      </c>
      <c r="F457" s="113" t="str">
        <f t="shared" ref="F457:F500" si="62">IFERROR(INDEX(A457,MATCH(E457&amp;"*",A457,)),"-")</f>
        <v>-</v>
      </c>
      <c r="G457" s="114" t="str">
        <f t="shared" ref="G457:G500" si="63">IF(F457="-","",LEFT(F457,6))</f>
        <v/>
      </c>
      <c r="H457" s="114" t="str">
        <f t="shared" ref="H457:H500" si="64">MID(F457,8,50)</f>
        <v/>
      </c>
      <c r="J457" s="113" t="str">
        <f t="shared" ref="J457:J500" si="65">IF(F457="-","-",LEFT(F457,6))</f>
        <v>-</v>
      </c>
      <c r="K457" s="113">
        <f t="shared" ref="K457:K500" si="66">I457</f>
        <v>0</v>
      </c>
      <c r="L457" s="114" t="str">
        <f t="shared" ref="L457:L500" si="67">IF(F457="-","",B457)</f>
        <v/>
      </c>
      <c r="V457" s="117" t="str">
        <f t="shared" si="61"/>
        <v xml:space="preserve">   </v>
      </c>
    </row>
    <row r="458" spans="5:22">
      <c r="E458" s="118" t="s">
        <v>64</v>
      </c>
      <c r="F458" s="113" t="str">
        <f t="shared" si="62"/>
        <v>-</v>
      </c>
      <c r="G458" s="114" t="str">
        <f t="shared" si="63"/>
        <v/>
      </c>
      <c r="H458" s="114" t="str">
        <f t="shared" si="64"/>
        <v/>
      </c>
      <c r="J458" s="113" t="str">
        <f t="shared" si="65"/>
        <v>-</v>
      </c>
      <c r="K458" s="113">
        <f t="shared" si="66"/>
        <v>0</v>
      </c>
      <c r="L458" s="114" t="str">
        <f t="shared" si="67"/>
        <v/>
      </c>
      <c r="V458" s="117" t="str">
        <f t="shared" si="61"/>
        <v xml:space="preserve">   </v>
      </c>
    </row>
    <row r="459" spans="5:22">
      <c r="E459" s="118" t="s">
        <v>64</v>
      </c>
      <c r="F459" s="113" t="str">
        <f t="shared" si="62"/>
        <v>-</v>
      </c>
      <c r="G459" s="114" t="str">
        <f t="shared" si="63"/>
        <v/>
      </c>
      <c r="H459" s="114" t="str">
        <f t="shared" si="64"/>
        <v/>
      </c>
      <c r="J459" s="113" t="str">
        <f t="shared" si="65"/>
        <v>-</v>
      </c>
      <c r="K459" s="113">
        <f t="shared" si="66"/>
        <v>0</v>
      </c>
      <c r="L459" s="114" t="str">
        <f t="shared" si="67"/>
        <v/>
      </c>
      <c r="V459" s="117" t="str">
        <f t="shared" si="61"/>
        <v xml:space="preserve">   </v>
      </c>
    </row>
    <row r="460" spans="5:22">
      <c r="E460" s="118" t="s">
        <v>64</v>
      </c>
      <c r="F460" s="113" t="str">
        <f t="shared" si="62"/>
        <v>-</v>
      </c>
      <c r="G460" s="114" t="str">
        <f t="shared" si="63"/>
        <v/>
      </c>
      <c r="H460" s="114" t="str">
        <f t="shared" si="64"/>
        <v/>
      </c>
      <c r="J460" s="113" t="str">
        <f t="shared" si="65"/>
        <v>-</v>
      </c>
      <c r="K460" s="113">
        <f t="shared" si="66"/>
        <v>0</v>
      </c>
      <c r="L460" s="114" t="str">
        <f t="shared" si="67"/>
        <v/>
      </c>
      <c r="V460" s="117" t="str">
        <f t="shared" si="61"/>
        <v xml:space="preserve">   </v>
      </c>
    </row>
    <row r="461" spans="5:22">
      <c r="E461" s="118" t="s">
        <v>64</v>
      </c>
      <c r="F461" s="113" t="str">
        <f t="shared" si="62"/>
        <v>-</v>
      </c>
      <c r="G461" s="114" t="str">
        <f t="shared" si="63"/>
        <v/>
      </c>
      <c r="H461" s="114" t="str">
        <f t="shared" si="64"/>
        <v/>
      </c>
      <c r="J461" s="113" t="str">
        <f t="shared" si="65"/>
        <v>-</v>
      </c>
      <c r="K461" s="113">
        <f t="shared" si="66"/>
        <v>0</v>
      </c>
      <c r="L461" s="114" t="str">
        <f t="shared" si="67"/>
        <v/>
      </c>
      <c r="V461" s="117" t="str">
        <f t="shared" si="61"/>
        <v xml:space="preserve">   </v>
      </c>
    </row>
    <row r="462" spans="5:22">
      <c r="E462" s="118" t="s">
        <v>64</v>
      </c>
      <c r="F462" s="113" t="str">
        <f t="shared" si="62"/>
        <v>-</v>
      </c>
      <c r="G462" s="114" t="str">
        <f t="shared" si="63"/>
        <v/>
      </c>
      <c r="H462" s="114" t="str">
        <f t="shared" si="64"/>
        <v/>
      </c>
      <c r="J462" s="113" t="str">
        <f t="shared" si="65"/>
        <v>-</v>
      </c>
      <c r="K462" s="113">
        <f t="shared" si="66"/>
        <v>0</v>
      </c>
      <c r="L462" s="114" t="str">
        <f t="shared" si="67"/>
        <v/>
      </c>
      <c r="V462" s="117" t="str">
        <f t="shared" si="61"/>
        <v xml:space="preserve">   </v>
      </c>
    </row>
    <row r="463" spans="5:22">
      <c r="E463" s="118" t="s">
        <v>64</v>
      </c>
      <c r="F463" s="113" t="str">
        <f t="shared" si="62"/>
        <v>-</v>
      </c>
      <c r="G463" s="114" t="str">
        <f t="shared" si="63"/>
        <v/>
      </c>
      <c r="H463" s="114" t="str">
        <f t="shared" si="64"/>
        <v/>
      </c>
      <c r="J463" s="113" t="str">
        <f t="shared" si="65"/>
        <v>-</v>
      </c>
      <c r="K463" s="113">
        <f t="shared" si="66"/>
        <v>0</v>
      </c>
      <c r="L463" s="114" t="str">
        <f t="shared" si="67"/>
        <v/>
      </c>
      <c r="V463" s="117" t="str">
        <f t="shared" si="61"/>
        <v xml:space="preserve">   </v>
      </c>
    </row>
    <row r="464" spans="5:22">
      <c r="E464" s="118" t="s">
        <v>64</v>
      </c>
      <c r="F464" s="113" t="str">
        <f t="shared" si="62"/>
        <v>-</v>
      </c>
      <c r="G464" s="114" t="str">
        <f t="shared" si="63"/>
        <v/>
      </c>
      <c r="H464" s="114" t="str">
        <f t="shared" si="64"/>
        <v/>
      </c>
      <c r="J464" s="113" t="str">
        <f t="shared" si="65"/>
        <v>-</v>
      </c>
      <c r="K464" s="113">
        <f t="shared" si="66"/>
        <v>0</v>
      </c>
      <c r="L464" s="114" t="str">
        <f t="shared" si="67"/>
        <v/>
      </c>
      <c r="V464" s="117" t="str">
        <f t="shared" si="61"/>
        <v xml:space="preserve">   </v>
      </c>
    </row>
    <row r="465" spans="5:22">
      <c r="E465" s="118" t="s">
        <v>64</v>
      </c>
      <c r="F465" s="113" t="str">
        <f t="shared" si="62"/>
        <v>-</v>
      </c>
      <c r="G465" s="114" t="str">
        <f t="shared" si="63"/>
        <v/>
      </c>
      <c r="H465" s="114" t="str">
        <f t="shared" si="64"/>
        <v/>
      </c>
      <c r="J465" s="113" t="str">
        <f t="shared" si="65"/>
        <v>-</v>
      </c>
      <c r="K465" s="113">
        <f t="shared" si="66"/>
        <v>0</v>
      </c>
      <c r="L465" s="114" t="str">
        <f t="shared" si="67"/>
        <v/>
      </c>
      <c r="V465" s="117" t="str">
        <f t="shared" si="61"/>
        <v xml:space="preserve">   </v>
      </c>
    </row>
    <row r="466" spans="5:22">
      <c r="E466" s="118" t="s">
        <v>64</v>
      </c>
      <c r="F466" s="113" t="str">
        <f t="shared" si="62"/>
        <v>-</v>
      </c>
      <c r="G466" s="114" t="str">
        <f t="shared" si="63"/>
        <v/>
      </c>
      <c r="H466" s="114" t="str">
        <f t="shared" si="64"/>
        <v/>
      </c>
      <c r="J466" s="113" t="str">
        <f t="shared" si="65"/>
        <v>-</v>
      </c>
      <c r="K466" s="113">
        <f t="shared" si="66"/>
        <v>0</v>
      </c>
      <c r="L466" s="114" t="str">
        <f t="shared" si="67"/>
        <v/>
      </c>
      <c r="V466" s="117" t="str">
        <f t="shared" si="61"/>
        <v xml:space="preserve">   </v>
      </c>
    </row>
    <row r="467" spans="5:22">
      <c r="E467" s="118" t="s">
        <v>64</v>
      </c>
      <c r="F467" s="113" t="str">
        <f t="shared" si="62"/>
        <v>-</v>
      </c>
      <c r="G467" s="114" t="str">
        <f t="shared" si="63"/>
        <v/>
      </c>
      <c r="H467" s="114" t="str">
        <f t="shared" si="64"/>
        <v/>
      </c>
      <c r="J467" s="113" t="str">
        <f t="shared" si="65"/>
        <v>-</v>
      </c>
      <c r="K467" s="113">
        <f t="shared" si="66"/>
        <v>0</v>
      </c>
      <c r="L467" s="114" t="str">
        <f t="shared" si="67"/>
        <v/>
      </c>
      <c r="V467" s="117" t="str">
        <f t="shared" si="61"/>
        <v xml:space="preserve">   </v>
      </c>
    </row>
    <row r="468" spans="5:22">
      <c r="E468" s="118" t="s">
        <v>64</v>
      </c>
      <c r="F468" s="113" t="str">
        <f t="shared" si="62"/>
        <v>-</v>
      </c>
      <c r="G468" s="114" t="str">
        <f t="shared" si="63"/>
        <v/>
      </c>
      <c r="H468" s="114" t="str">
        <f t="shared" si="64"/>
        <v/>
      </c>
      <c r="J468" s="113" t="str">
        <f t="shared" si="65"/>
        <v>-</v>
      </c>
      <c r="K468" s="113">
        <f t="shared" si="66"/>
        <v>0</v>
      </c>
      <c r="L468" s="114" t="str">
        <f t="shared" si="67"/>
        <v/>
      </c>
      <c r="V468" s="117" t="str">
        <f t="shared" si="61"/>
        <v xml:space="preserve">   </v>
      </c>
    </row>
    <row r="469" spans="5:22">
      <c r="E469" s="118" t="s">
        <v>64</v>
      </c>
      <c r="F469" s="113" t="str">
        <f t="shared" si="62"/>
        <v>-</v>
      </c>
      <c r="G469" s="114" t="str">
        <f t="shared" si="63"/>
        <v/>
      </c>
      <c r="H469" s="114" t="str">
        <f t="shared" si="64"/>
        <v/>
      </c>
      <c r="J469" s="113" t="str">
        <f t="shared" si="65"/>
        <v>-</v>
      </c>
      <c r="K469" s="113">
        <f t="shared" si="66"/>
        <v>0</v>
      </c>
      <c r="L469" s="114" t="str">
        <f t="shared" si="67"/>
        <v/>
      </c>
      <c r="V469" s="117" t="str">
        <f t="shared" si="61"/>
        <v xml:space="preserve">   </v>
      </c>
    </row>
    <row r="470" spans="5:22">
      <c r="E470" s="118" t="s">
        <v>64</v>
      </c>
      <c r="F470" s="113" t="str">
        <f t="shared" si="62"/>
        <v>-</v>
      </c>
      <c r="G470" s="114" t="str">
        <f t="shared" si="63"/>
        <v/>
      </c>
      <c r="H470" s="114" t="str">
        <f t="shared" si="64"/>
        <v/>
      </c>
      <c r="J470" s="113" t="str">
        <f t="shared" si="65"/>
        <v>-</v>
      </c>
      <c r="K470" s="113">
        <f t="shared" si="66"/>
        <v>0</v>
      </c>
      <c r="L470" s="114" t="str">
        <f t="shared" si="67"/>
        <v/>
      </c>
      <c r="V470" s="117" t="str">
        <f t="shared" si="61"/>
        <v xml:space="preserve">   </v>
      </c>
    </row>
    <row r="471" spans="5:22">
      <c r="E471" s="118" t="s">
        <v>64</v>
      </c>
      <c r="F471" s="113" t="str">
        <f t="shared" si="62"/>
        <v>-</v>
      </c>
      <c r="G471" s="114" t="str">
        <f t="shared" si="63"/>
        <v/>
      </c>
      <c r="H471" s="114" t="str">
        <f t="shared" si="64"/>
        <v/>
      </c>
      <c r="J471" s="113" t="str">
        <f t="shared" si="65"/>
        <v>-</v>
      </c>
      <c r="K471" s="113">
        <f t="shared" si="66"/>
        <v>0</v>
      </c>
      <c r="L471" s="114" t="str">
        <f t="shared" si="67"/>
        <v/>
      </c>
      <c r="V471" s="117" t="str">
        <f t="shared" si="61"/>
        <v xml:space="preserve">   </v>
      </c>
    </row>
    <row r="472" spans="5:22">
      <c r="E472" s="118" t="s">
        <v>64</v>
      </c>
      <c r="F472" s="113" t="str">
        <f t="shared" si="62"/>
        <v>-</v>
      </c>
      <c r="G472" s="114" t="str">
        <f t="shared" si="63"/>
        <v/>
      </c>
      <c r="H472" s="114" t="str">
        <f t="shared" si="64"/>
        <v/>
      </c>
      <c r="J472" s="113" t="str">
        <f t="shared" si="65"/>
        <v>-</v>
      </c>
      <c r="K472" s="113">
        <f t="shared" si="66"/>
        <v>0</v>
      </c>
      <c r="L472" s="114" t="str">
        <f t="shared" si="67"/>
        <v/>
      </c>
      <c r="V472" s="117" t="str">
        <f t="shared" si="61"/>
        <v xml:space="preserve">   </v>
      </c>
    </row>
    <row r="473" spans="5:22">
      <c r="E473" s="118" t="s">
        <v>64</v>
      </c>
      <c r="F473" s="113" t="str">
        <f t="shared" si="62"/>
        <v>-</v>
      </c>
      <c r="G473" s="114" t="str">
        <f t="shared" si="63"/>
        <v/>
      </c>
      <c r="H473" s="114" t="str">
        <f t="shared" si="64"/>
        <v/>
      </c>
      <c r="J473" s="113" t="str">
        <f t="shared" si="65"/>
        <v>-</v>
      </c>
      <c r="K473" s="113">
        <f t="shared" si="66"/>
        <v>0</v>
      </c>
      <c r="L473" s="114" t="str">
        <f t="shared" si="67"/>
        <v/>
      </c>
      <c r="V473" s="117" t="str">
        <f t="shared" si="61"/>
        <v xml:space="preserve">   </v>
      </c>
    </row>
    <row r="474" spans="5:22">
      <c r="E474" s="118" t="s">
        <v>64</v>
      </c>
      <c r="F474" s="113" t="str">
        <f t="shared" si="62"/>
        <v>-</v>
      </c>
      <c r="G474" s="114" t="str">
        <f t="shared" si="63"/>
        <v/>
      </c>
      <c r="H474" s="114" t="str">
        <f t="shared" si="64"/>
        <v/>
      </c>
      <c r="J474" s="113" t="str">
        <f t="shared" si="65"/>
        <v>-</v>
      </c>
      <c r="K474" s="113">
        <f t="shared" si="66"/>
        <v>0</v>
      </c>
      <c r="L474" s="114" t="str">
        <f t="shared" si="67"/>
        <v/>
      </c>
      <c r="V474" s="117" t="str">
        <f t="shared" si="61"/>
        <v xml:space="preserve">   </v>
      </c>
    </row>
    <row r="475" spans="5:22">
      <c r="E475" s="118" t="s">
        <v>64</v>
      </c>
      <c r="F475" s="113" t="str">
        <f t="shared" si="62"/>
        <v>-</v>
      </c>
      <c r="G475" s="114" t="str">
        <f t="shared" si="63"/>
        <v/>
      </c>
      <c r="H475" s="114" t="str">
        <f t="shared" si="64"/>
        <v/>
      </c>
      <c r="J475" s="113" t="str">
        <f t="shared" si="65"/>
        <v>-</v>
      </c>
      <c r="K475" s="113">
        <f t="shared" si="66"/>
        <v>0</v>
      </c>
      <c r="L475" s="114" t="str">
        <f t="shared" si="67"/>
        <v/>
      </c>
      <c r="V475" s="117" t="str">
        <f t="shared" si="61"/>
        <v xml:space="preserve">   </v>
      </c>
    </row>
    <row r="476" spans="5:22">
      <c r="E476" s="118" t="s">
        <v>64</v>
      </c>
      <c r="F476" s="113" t="str">
        <f t="shared" si="62"/>
        <v>-</v>
      </c>
      <c r="G476" s="114" t="str">
        <f t="shared" si="63"/>
        <v/>
      </c>
      <c r="H476" s="114" t="str">
        <f t="shared" si="64"/>
        <v/>
      </c>
      <c r="J476" s="113" t="str">
        <f t="shared" si="65"/>
        <v>-</v>
      </c>
      <c r="K476" s="113">
        <f t="shared" si="66"/>
        <v>0</v>
      </c>
      <c r="L476" s="114" t="str">
        <f t="shared" si="67"/>
        <v/>
      </c>
      <c r="V476" s="117" t="str">
        <f t="shared" si="61"/>
        <v xml:space="preserve">   </v>
      </c>
    </row>
    <row r="477" spans="5:22">
      <c r="E477" s="118" t="s">
        <v>64</v>
      </c>
      <c r="F477" s="113" t="str">
        <f t="shared" si="62"/>
        <v>-</v>
      </c>
      <c r="G477" s="114" t="str">
        <f t="shared" si="63"/>
        <v/>
      </c>
      <c r="H477" s="114" t="str">
        <f t="shared" si="64"/>
        <v/>
      </c>
      <c r="J477" s="113" t="str">
        <f t="shared" si="65"/>
        <v>-</v>
      </c>
      <c r="K477" s="113">
        <f t="shared" si="66"/>
        <v>0</v>
      </c>
      <c r="L477" s="114" t="str">
        <f t="shared" si="67"/>
        <v/>
      </c>
      <c r="V477" s="117" t="str">
        <f t="shared" si="61"/>
        <v xml:space="preserve">   </v>
      </c>
    </row>
    <row r="478" spans="5:22">
      <c r="E478" s="118" t="s">
        <v>64</v>
      </c>
      <c r="F478" s="113" t="str">
        <f t="shared" si="62"/>
        <v>-</v>
      </c>
      <c r="G478" s="114" t="str">
        <f t="shared" si="63"/>
        <v/>
      </c>
      <c r="H478" s="114" t="str">
        <f t="shared" si="64"/>
        <v/>
      </c>
      <c r="J478" s="113" t="str">
        <f t="shared" si="65"/>
        <v>-</v>
      </c>
      <c r="K478" s="113">
        <f t="shared" si="66"/>
        <v>0</v>
      </c>
      <c r="L478" s="114" t="str">
        <f t="shared" si="67"/>
        <v/>
      </c>
      <c r="V478" s="117" t="str">
        <f t="shared" si="61"/>
        <v xml:space="preserve">   </v>
      </c>
    </row>
    <row r="479" spans="5:22">
      <c r="E479" s="118" t="s">
        <v>64</v>
      </c>
      <c r="F479" s="113" t="str">
        <f t="shared" si="62"/>
        <v>-</v>
      </c>
      <c r="G479" s="114" t="str">
        <f t="shared" si="63"/>
        <v/>
      </c>
      <c r="H479" s="114" t="str">
        <f t="shared" si="64"/>
        <v/>
      </c>
      <c r="J479" s="113" t="str">
        <f t="shared" si="65"/>
        <v>-</v>
      </c>
      <c r="K479" s="113">
        <f t="shared" si="66"/>
        <v>0</v>
      </c>
      <c r="L479" s="114" t="str">
        <f t="shared" si="67"/>
        <v/>
      </c>
      <c r="V479" s="117" t="str">
        <f t="shared" si="61"/>
        <v xml:space="preserve">   </v>
      </c>
    </row>
    <row r="480" spans="5:22">
      <c r="E480" s="118" t="s">
        <v>64</v>
      </c>
      <c r="F480" s="113" t="str">
        <f t="shared" si="62"/>
        <v>-</v>
      </c>
      <c r="G480" s="114" t="str">
        <f t="shared" si="63"/>
        <v/>
      </c>
      <c r="H480" s="114" t="str">
        <f t="shared" si="64"/>
        <v/>
      </c>
      <c r="J480" s="113" t="str">
        <f t="shared" si="65"/>
        <v>-</v>
      </c>
      <c r="K480" s="113">
        <f t="shared" si="66"/>
        <v>0</v>
      </c>
      <c r="L480" s="114" t="str">
        <f t="shared" si="67"/>
        <v/>
      </c>
      <c r="V480" s="117" t="str">
        <f t="shared" si="61"/>
        <v xml:space="preserve">   </v>
      </c>
    </row>
    <row r="481" spans="5:22">
      <c r="E481" s="118" t="s">
        <v>64</v>
      </c>
      <c r="F481" s="113" t="str">
        <f t="shared" si="62"/>
        <v>-</v>
      </c>
      <c r="G481" s="114" t="str">
        <f t="shared" si="63"/>
        <v/>
      </c>
      <c r="H481" s="114" t="str">
        <f t="shared" si="64"/>
        <v/>
      </c>
      <c r="J481" s="113" t="str">
        <f t="shared" si="65"/>
        <v>-</v>
      </c>
      <c r="K481" s="113">
        <f t="shared" si="66"/>
        <v>0</v>
      </c>
      <c r="L481" s="114" t="str">
        <f t="shared" si="67"/>
        <v/>
      </c>
      <c r="V481" s="117" t="str">
        <f t="shared" si="61"/>
        <v xml:space="preserve">   </v>
      </c>
    </row>
    <row r="482" spans="5:22">
      <c r="E482" s="118" t="s">
        <v>64</v>
      </c>
      <c r="F482" s="113" t="str">
        <f t="shared" si="62"/>
        <v>-</v>
      </c>
      <c r="G482" s="114" t="str">
        <f t="shared" si="63"/>
        <v/>
      </c>
      <c r="H482" s="114" t="str">
        <f t="shared" si="64"/>
        <v/>
      </c>
      <c r="J482" s="113" t="str">
        <f t="shared" si="65"/>
        <v>-</v>
      </c>
      <c r="K482" s="113">
        <f t="shared" si="66"/>
        <v>0</v>
      </c>
      <c r="L482" s="114" t="str">
        <f t="shared" si="67"/>
        <v/>
      </c>
      <c r="V482" s="117" t="str">
        <f t="shared" si="61"/>
        <v xml:space="preserve">   </v>
      </c>
    </row>
    <row r="483" spans="5:22">
      <c r="E483" s="118" t="s">
        <v>64</v>
      </c>
      <c r="F483" s="113" t="str">
        <f t="shared" si="62"/>
        <v>-</v>
      </c>
      <c r="G483" s="114" t="str">
        <f t="shared" si="63"/>
        <v/>
      </c>
      <c r="H483" s="114" t="str">
        <f t="shared" si="64"/>
        <v/>
      </c>
      <c r="J483" s="113" t="str">
        <f t="shared" si="65"/>
        <v>-</v>
      </c>
      <c r="K483" s="113">
        <f t="shared" si="66"/>
        <v>0</v>
      </c>
      <c r="L483" s="114" t="str">
        <f t="shared" si="67"/>
        <v/>
      </c>
      <c r="V483" s="117" t="str">
        <f t="shared" si="61"/>
        <v xml:space="preserve">   </v>
      </c>
    </row>
    <row r="484" spans="5:22">
      <c r="E484" s="118" t="s">
        <v>64</v>
      </c>
      <c r="F484" s="113" t="str">
        <f t="shared" si="62"/>
        <v>-</v>
      </c>
      <c r="G484" s="114" t="str">
        <f t="shared" si="63"/>
        <v/>
      </c>
      <c r="H484" s="114" t="str">
        <f t="shared" si="64"/>
        <v/>
      </c>
      <c r="J484" s="113" t="str">
        <f t="shared" si="65"/>
        <v>-</v>
      </c>
      <c r="K484" s="113">
        <f t="shared" si="66"/>
        <v>0</v>
      </c>
      <c r="L484" s="114" t="str">
        <f t="shared" si="67"/>
        <v/>
      </c>
      <c r="V484" s="117" t="str">
        <f t="shared" si="61"/>
        <v xml:space="preserve">   </v>
      </c>
    </row>
    <row r="485" spans="5:22">
      <c r="E485" s="118" t="s">
        <v>64</v>
      </c>
      <c r="F485" s="113" t="str">
        <f t="shared" si="62"/>
        <v>-</v>
      </c>
      <c r="G485" s="114" t="str">
        <f t="shared" si="63"/>
        <v/>
      </c>
      <c r="H485" s="114" t="str">
        <f t="shared" si="64"/>
        <v/>
      </c>
      <c r="J485" s="113" t="str">
        <f t="shared" si="65"/>
        <v>-</v>
      </c>
      <c r="K485" s="113">
        <f t="shared" si="66"/>
        <v>0</v>
      </c>
      <c r="L485" s="114" t="str">
        <f t="shared" si="67"/>
        <v/>
      </c>
      <c r="V485" s="117" t="str">
        <f t="shared" si="61"/>
        <v xml:space="preserve">   </v>
      </c>
    </row>
    <row r="486" spans="5:22">
      <c r="E486" s="118" t="s">
        <v>64</v>
      </c>
      <c r="F486" s="113" t="str">
        <f t="shared" si="62"/>
        <v>-</v>
      </c>
      <c r="G486" s="114" t="str">
        <f t="shared" si="63"/>
        <v/>
      </c>
      <c r="H486" s="114" t="str">
        <f t="shared" si="64"/>
        <v/>
      </c>
      <c r="J486" s="113" t="str">
        <f t="shared" si="65"/>
        <v>-</v>
      </c>
      <c r="K486" s="113">
        <f t="shared" si="66"/>
        <v>0</v>
      </c>
      <c r="L486" s="114" t="str">
        <f t="shared" si="67"/>
        <v/>
      </c>
      <c r="V486" s="117" t="str">
        <f t="shared" si="61"/>
        <v xml:space="preserve">   </v>
      </c>
    </row>
    <row r="487" spans="5:22">
      <c r="E487" s="118" t="s">
        <v>64</v>
      </c>
      <c r="F487" s="113" t="str">
        <f t="shared" si="62"/>
        <v>-</v>
      </c>
      <c r="G487" s="114" t="str">
        <f t="shared" si="63"/>
        <v/>
      </c>
      <c r="H487" s="114" t="str">
        <f t="shared" si="64"/>
        <v/>
      </c>
      <c r="J487" s="113" t="str">
        <f t="shared" si="65"/>
        <v>-</v>
      </c>
      <c r="K487" s="113">
        <f t="shared" si="66"/>
        <v>0</v>
      </c>
      <c r="L487" s="114" t="str">
        <f t="shared" si="67"/>
        <v/>
      </c>
      <c r="V487" s="117" t="str">
        <f t="shared" si="61"/>
        <v xml:space="preserve">   </v>
      </c>
    </row>
    <row r="488" spans="5:22">
      <c r="E488" s="118" t="s">
        <v>64</v>
      </c>
      <c r="F488" s="113" t="str">
        <f t="shared" si="62"/>
        <v>-</v>
      </c>
      <c r="G488" s="114" t="str">
        <f t="shared" si="63"/>
        <v/>
      </c>
      <c r="H488" s="114" t="str">
        <f t="shared" si="64"/>
        <v/>
      </c>
      <c r="J488" s="113" t="str">
        <f t="shared" si="65"/>
        <v>-</v>
      </c>
      <c r="K488" s="113">
        <f t="shared" si="66"/>
        <v>0</v>
      </c>
      <c r="L488" s="114" t="str">
        <f t="shared" si="67"/>
        <v/>
      </c>
      <c r="V488" s="117" t="str">
        <f t="shared" si="61"/>
        <v xml:space="preserve">   </v>
      </c>
    </row>
    <row r="489" spans="5:22">
      <c r="E489" s="118" t="s">
        <v>64</v>
      </c>
      <c r="F489" s="113" t="str">
        <f t="shared" si="62"/>
        <v>-</v>
      </c>
      <c r="G489" s="114" t="str">
        <f t="shared" si="63"/>
        <v/>
      </c>
      <c r="H489" s="114" t="str">
        <f t="shared" si="64"/>
        <v/>
      </c>
      <c r="J489" s="113" t="str">
        <f t="shared" si="65"/>
        <v>-</v>
      </c>
      <c r="K489" s="113">
        <f t="shared" si="66"/>
        <v>0</v>
      </c>
      <c r="L489" s="114" t="str">
        <f t="shared" si="67"/>
        <v/>
      </c>
      <c r="V489" s="117" t="str">
        <f t="shared" si="61"/>
        <v xml:space="preserve">   </v>
      </c>
    </row>
    <row r="490" spans="5:22">
      <c r="E490" s="118" t="s">
        <v>64</v>
      </c>
      <c r="F490" s="113" t="str">
        <f t="shared" si="62"/>
        <v>-</v>
      </c>
      <c r="G490" s="114" t="str">
        <f t="shared" si="63"/>
        <v/>
      </c>
      <c r="H490" s="114" t="str">
        <f t="shared" si="64"/>
        <v/>
      </c>
      <c r="J490" s="113" t="str">
        <f t="shared" si="65"/>
        <v>-</v>
      </c>
      <c r="K490" s="113">
        <f t="shared" si="66"/>
        <v>0</v>
      </c>
      <c r="L490" s="114" t="str">
        <f t="shared" si="67"/>
        <v/>
      </c>
      <c r="V490" s="117" t="str">
        <f t="shared" si="61"/>
        <v xml:space="preserve">   </v>
      </c>
    </row>
    <row r="491" spans="5:22">
      <c r="E491" s="118" t="s">
        <v>64</v>
      </c>
      <c r="F491" s="113" t="str">
        <f t="shared" si="62"/>
        <v>-</v>
      </c>
      <c r="G491" s="114" t="str">
        <f t="shared" si="63"/>
        <v/>
      </c>
      <c r="H491" s="114" t="str">
        <f t="shared" si="64"/>
        <v/>
      </c>
      <c r="J491" s="113" t="str">
        <f t="shared" si="65"/>
        <v>-</v>
      </c>
      <c r="K491" s="113">
        <f t="shared" si="66"/>
        <v>0</v>
      </c>
      <c r="L491" s="114" t="str">
        <f t="shared" si="67"/>
        <v/>
      </c>
      <c r="V491" s="117" t="str">
        <f t="shared" si="61"/>
        <v xml:space="preserve">   </v>
      </c>
    </row>
    <row r="492" spans="5:22">
      <c r="E492" s="118" t="s">
        <v>64</v>
      </c>
      <c r="F492" s="113" t="str">
        <f t="shared" si="62"/>
        <v>-</v>
      </c>
      <c r="G492" s="114" t="str">
        <f t="shared" si="63"/>
        <v/>
      </c>
      <c r="H492" s="114" t="str">
        <f t="shared" si="64"/>
        <v/>
      </c>
      <c r="J492" s="113" t="str">
        <f t="shared" si="65"/>
        <v>-</v>
      </c>
      <c r="K492" s="113">
        <f t="shared" si="66"/>
        <v>0</v>
      </c>
      <c r="L492" s="114" t="str">
        <f t="shared" si="67"/>
        <v/>
      </c>
      <c r="V492" s="117" t="str">
        <f t="shared" si="61"/>
        <v xml:space="preserve">   </v>
      </c>
    </row>
    <row r="493" spans="5:22">
      <c r="E493" s="118" t="s">
        <v>64</v>
      </c>
      <c r="F493" s="113" t="str">
        <f t="shared" si="62"/>
        <v>-</v>
      </c>
      <c r="G493" s="114" t="str">
        <f t="shared" si="63"/>
        <v/>
      </c>
      <c r="H493" s="114" t="str">
        <f t="shared" si="64"/>
        <v/>
      </c>
      <c r="J493" s="113" t="str">
        <f t="shared" si="65"/>
        <v>-</v>
      </c>
      <c r="K493" s="113">
        <f t="shared" si="66"/>
        <v>0</v>
      </c>
      <c r="L493" s="114" t="str">
        <f t="shared" si="67"/>
        <v/>
      </c>
      <c r="V493" s="117" t="str">
        <f t="shared" si="61"/>
        <v xml:space="preserve">   </v>
      </c>
    </row>
    <row r="494" spans="5:22">
      <c r="E494" s="118" t="s">
        <v>64</v>
      </c>
      <c r="F494" s="113" t="str">
        <f t="shared" si="62"/>
        <v>-</v>
      </c>
      <c r="G494" s="114" t="str">
        <f t="shared" si="63"/>
        <v/>
      </c>
      <c r="H494" s="114" t="str">
        <f t="shared" si="64"/>
        <v/>
      </c>
      <c r="J494" s="113" t="str">
        <f t="shared" si="65"/>
        <v>-</v>
      </c>
      <c r="K494" s="113">
        <f t="shared" si="66"/>
        <v>0</v>
      </c>
      <c r="L494" s="114" t="str">
        <f t="shared" si="67"/>
        <v/>
      </c>
      <c r="V494" s="117" t="str">
        <f t="shared" si="61"/>
        <v xml:space="preserve">   </v>
      </c>
    </row>
    <row r="495" spans="5:22">
      <c r="E495" s="118" t="s">
        <v>64</v>
      </c>
      <c r="F495" s="113" t="str">
        <f t="shared" si="62"/>
        <v>-</v>
      </c>
      <c r="G495" s="114" t="str">
        <f t="shared" si="63"/>
        <v/>
      </c>
      <c r="H495" s="114" t="str">
        <f t="shared" si="64"/>
        <v/>
      </c>
      <c r="J495" s="113" t="str">
        <f t="shared" si="65"/>
        <v>-</v>
      </c>
      <c r="K495" s="113">
        <f t="shared" si="66"/>
        <v>0</v>
      </c>
      <c r="L495" s="114" t="str">
        <f t="shared" si="67"/>
        <v/>
      </c>
      <c r="V495" s="117" t="str">
        <f t="shared" si="61"/>
        <v xml:space="preserve">   </v>
      </c>
    </row>
    <row r="496" spans="5:22">
      <c r="E496" s="118" t="s">
        <v>64</v>
      </c>
      <c r="F496" s="113" t="str">
        <f t="shared" si="62"/>
        <v>-</v>
      </c>
      <c r="G496" s="114" t="str">
        <f t="shared" si="63"/>
        <v/>
      </c>
      <c r="H496" s="114" t="str">
        <f t="shared" si="64"/>
        <v/>
      </c>
      <c r="J496" s="113" t="str">
        <f t="shared" si="65"/>
        <v>-</v>
      </c>
      <c r="K496" s="113">
        <f t="shared" si="66"/>
        <v>0</v>
      </c>
      <c r="L496" s="114" t="str">
        <f t="shared" si="67"/>
        <v/>
      </c>
      <c r="V496" s="117" t="str">
        <f t="shared" si="61"/>
        <v xml:space="preserve">   </v>
      </c>
    </row>
    <row r="497" spans="5:22">
      <c r="E497" s="118" t="s">
        <v>64</v>
      </c>
      <c r="F497" s="113" t="str">
        <f t="shared" si="62"/>
        <v>-</v>
      </c>
      <c r="G497" s="114" t="str">
        <f t="shared" si="63"/>
        <v/>
      </c>
      <c r="H497" s="114" t="str">
        <f t="shared" si="64"/>
        <v/>
      </c>
      <c r="J497" s="113" t="str">
        <f t="shared" si="65"/>
        <v>-</v>
      </c>
      <c r="K497" s="113">
        <f t="shared" si="66"/>
        <v>0</v>
      </c>
      <c r="L497" s="114" t="str">
        <f t="shared" si="67"/>
        <v/>
      </c>
      <c r="V497" s="117" t="str">
        <f t="shared" si="61"/>
        <v xml:space="preserve">   </v>
      </c>
    </row>
    <row r="498" spans="5:22">
      <c r="E498" s="118" t="s">
        <v>64</v>
      </c>
      <c r="F498" s="113" t="str">
        <f t="shared" si="62"/>
        <v>-</v>
      </c>
      <c r="G498" s="114" t="str">
        <f t="shared" si="63"/>
        <v/>
      </c>
      <c r="H498" s="114" t="str">
        <f t="shared" si="64"/>
        <v/>
      </c>
      <c r="J498" s="113" t="str">
        <f t="shared" si="65"/>
        <v>-</v>
      </c>
      <c r="K498" s="113">
        <f t="shared" si="66"/>
        <v>0</v>
      </c>
      <c r="L498" s="114" t="str">
        <f t="shared" si="67"/>
        <v/>
      </c>
      <c r="V498" s="117" t="str">
        <f t="shared" si="61"/>
        <v xml:space="preserve">   </v>
      </c>
    </row>
    <row r="499" spans="5:22">
      <c r="E499" s="118" t="s">
        <v>64</v>
      </c>
      <c r="F499" s="113" t="str">
        <f t="shared" si="62"/>
        <v>-</v>
      </c>
      <c r="G499" s="114" t="str">
        <f t="shared" si="63"/>
        <v/>
      </c>
      <c r="H499" s="114" t="str">
        <f t="shared" si="64"/>
        <v/>
      </c>
      <c r="J499" s="113" t="str">
        <f t="shared" si="65"/>
        <v>-</v>
      </c>
      <c r="K499" s="113">
        <f t="shared" si="66"/>
        <v>0</v>
      </c>
      <c r="L499" s="114" t="str">
        <f t="shared" si="67"/>
        <v/>
      </c>
      <c r="V499" s="117" t="str">
        <f t="shared" si="61"/>
        <v xml:space="preserve">   </v>
      </c>
    </row>
    <row r="500" spans="5:22">
      <c r="E500" s="118" t="s">
        <v>64</v>
      </c>
      <c r="F500" s="113" t="str">
        <f t="shared" si="62"/>
        <v>-</v>
      </c>
      <c r="G500" s="114" t="str">
        <f t="shared" si="63"/>
        <v/>
      </c>
      <c r="H500" s="114" t="str">
        <f t="shared" si="64"/>
        <v/>
      </c>
      <c r="J500" s="113" t="str">
        <f t="shared" si="65"/>
        <v>-</v>
      </c>
      <c r="K500" s="113">
        <f t="shared" si="66"/>
        <v>0</v>
      </c>
      <c r="L500" s="114" t="str">
        <f t="shared" si="67"/>
        <v/>
      </c>
      <c r="V500" s="117" t="str">
        <f t="shared" si="61"/>
        <v xml:space="preserve">   </v>
      </c>
    </row>
    <row r="501" spans="5:22">
      <c r="E501" s="118" t="s">
        <v>64</v>
      </c>
      <c r="F501" s="113" t="str">
        <f t="shared" ref="F501:F564" si="68">IFERROR(INDEX(A501,MATCH(E501&amp;"*",A501,)),"-")</f>
        <v>-</v>
      </c>
      <c r="G501" s="114" t="str">
        <f t="shared" ref="G501:G564" si="69">IF(F501="-","",LEFT(F501,6))</f>
        <v/>
      </c>
      <c r="H501" s="114" t="str">
        <f t="shared" ref="H501:H564" si="70">MID(F501,8,50)</f>
        <v/>
      </c>
      <c r="I501" s="111" t="s">
        <v>65</v>
      </c>
      <c r="J501" s="113" t="str">
        <f t="shared" ref="J501:J564" si="71">IF(F501="-","-",LEFT(F501,6))</f>
        <v>-</v>
      </c>
      <c r="K501" s="113" t="str">
        <f t="shared" ref="K501:K564" si="72">I501</f>
        <v/>
      </c>
      <c r="L501" s="114" t="str">
        <f t="shared" ref="L501:L564" si="73">IF(F501="-","",B501)</f>
        <v/>
      </c>
      <c r="M501" s="124" t="s">
        <v>65</v>
      </c>
      <c r="V501" s="117" t="str">
        <f t="shared" si="61"/>
        <v xml:space="preserve">   </v>
      </c>
    </row>
    <row r="502" spans="5:22">
      <c r="E502" s="118" t="s">
        <v>64</v>
      </c>
      <c r="F502" s="113" t="str">
        <f t="shared" si="68"/>
        <v>-</v>
      </c>
      <c r="G502" s="114" t="str">
        <f t="shared" si="69"/>
        <v/>
      </c>
      <c r="H502" s="114" t="str">
        <f t="shared" si="70"/>
        <v/>
      </c>
      <c r="I502" s="111" t="s">
        <v>65</v>
      </c>
      <c r="J502" s="113" t="str">
        <f t="shared" si="71"/>
        <v>-</v>
      </c>
      <c r="K502" s="113" t="str">
        <f t="shared" si="72"/>
        <v/>
      </c>
      <c r="L502" s="114" t="str">
        <f t="shared" si="73"/>
        <v/>
      </c>
      <c r="M502" s="124" t="s">
        <v>65</v>
      </c>
      <c r="V502" s="117" t="str">
        <f t="shared" si="61"/>
        <v xml:space="preserve">   </v>
      </c>
    </row>
    <row r="503" spans="5:22">
      <c r="E503" s="118" t="s">
        <v>64</v>
      </c>
      <c r="F503" s="113" t="str">
        <f t="shared" si="68"/>
        <v>-</v>
      </c>
      <c r="G503" s="114" t="str">
        <f t="shared" si="69"/>
        <v/>
      </c>
      <c r="H503" s="114" t="str">
        <f t="shared" si="70"/>
        <v/>
      </c>
      <c r="I503" s="111" t="s">
        <v>65</v>
      </c>
      <c r="J503" s="113" t="str">
        <f t="shared" si="71"/>
        <v>-</v>
      </c>
      <c r="K503" s="113" t="str">
        <f t="shared" si="72"/>
        <v/>
      </c>
      <c r="L503" s="114" t="str">
        <f t="shared" si="73"/>
        <v/>
      </c>
      <c r="M503" s="124" t="s">
        <v>65</v>
      </c>
      <c r="V503" s="117" t="str">
        <f t="shared" si="61"/>
        <v xml:space="preserve">   </v>
      </c>
    </row>
    <row r="504" spans="5:22">
      <c r="E504" s="118" t="s">
        <v>64</v>
      </c>
      <c r="F504" s="113" t="str">
        <f t="shared" si="68"/>
        <v>-</v>
      </c>
      <c r="G504" s="114" t="str">
        <f t="shared" si="69"/>
        <v/>
      </c>
      <c r="H504" s="114" t="str">
        <f t="shared" si="70"/>
        <v/>
      </c>
      <c r="I504" s="111" t="s">
        <v>65</v>
      </c>
      <c r="J504" s="113" t="str">
        <f t="shared" si="71"/>
        <v>-</v>
      </c>
      <c r="K504" s="113" t="str">
        <f t="shared" si="72"/>
        <v/>
      </c>
      <c r="L504" s="114" t="str">
        <f t="shared" si="73"/>
        <v/>
      </c>
      <c r="M504" s="124" t="s">
        <v>65</v>
      </c>
      <c r="V504" s="117" t="str">
        <f t="shared" si="61"/>
        <v xml:space="preserve">   </v>
      </c>
    </row>
    <row r="505" spans="5:22">
      <c r="E505" s="118" t="s">
        <v>64</v>
      </c>
      <c r="F505" s="113" t="str">
        <f t="shared" si="68"/>
        <v>-</v>
      </c>
      <c r="G505" s="114" t="str">
        <f t="shared" si="69"/>
        <v/>
      </c>
      <c r="H505" s="114" t="str">
        <f t="shared" si="70"/>
        <v/>
      </c>
      <c r="I505" s="111" t="s">
        <v>65</v>
      </c>
      <c r="J505" s="113" t="str">
        <f t="shared" si="71"/>
        <v>-</v>
      </c>
      <c r="K505" s="113" t="str">
        <f t="shared" si="72"/>
        <v/>
      </c>
      <c r="L505" s="114" t="str">
        <f t="shared" si="73"/>
        <v/>
      </c>
      <c r="M505" s="124" t="s">
        <v>65</v>
      </c>
      <c r="V505" s="117" t="str">
        <f t="shared" si="61"/>
        <v xml:space="preserve">   </v>
      </c>
    </row>
    <row r="506" spans="5:22">
      <c r="E506" s="118" t="s">
        <v>64</v>
      </c>
      <c r="F506" s="113" t="str">
        <f t="shared" si="68"/>
        <v>-</v>
      </c>
      <c r="G506" s="114" t="str">
        <f t="shared" si="69"/>
        <v/>
      </c>
      <c r="H506" s="114" t="str">
        <f t="shared" si="70"/>
        <v/>
      </c>
      <c r="I506" s="111" t="s">
        <v>65</v>
      </c>
      <c r="J506" s="113" t="str">
        <f t="shared" si="71"/>
        <v>-</v>
      </c>
      <c r="K506" s="113" t="str">
        <f t="shared" si="72"/>
        <v/>
      </c>
      <c r="L506" s="114" t="str">
        <f t="shared" si="73"/>
        <v/>
      </c>
      <c r="M506" s="124" t="s">
        <v>65</v>
      </c>
      <c r="V506" s="117" t="str">
        <f t="shared" si="61"/>
        <v xml:space="preserve">   </v>
      </c>
    </row>
    <row r="507" spans="5:22">
      <c r="E507" s="118" t="s">
        <v>64</v>
      </c>
      <c r="F507" s="113" t="str">
        <f t="shared" si="68"/>
        <v>-</v>
      </c>
      <c r="G507" s="114" t="str">
        <f t="shared" si="69"/>
        <v/>
      </c>
      <c r="H507" s="114" t="str">
        <f t="shared" si="70"/>
        <v/>
      </c>
      <c r="I507" s="111" t="s">
        <v>65</v>
      </c>
      <c r="J507" s="113" t="str">
        <f t="shared" si="71"/>
        <v>-</v>
      </c>
      <c r="K507" s="113" t="str">
        <f t="shared" si="72"/>
        <v/>
      </c>
      <c r="L507" s="114" t="str">
        <f t="shared" si="73"/>
        <v/>
      </c>
      <c r="M507" s="124" t="s">
        <v>65</v>
      </c>
      <c r="V507" s="117" t="str">
        <f t="shared" si="61"/>
        <v xml:space="preserve">   </v>
      </c>
    </row>
    <row r="508" spans="5:22">
      <c r="E508" s="118" t="s">
        <v>64</v>
      </c>
      <c r="F508" s="113" t="str">
        <f t="shared" si="68"/>
        <v>-</v>
      </c>
      <c r="G508" s="114" t="str">
        <f t="shared" si="69"/>
        <v/>
      </c>
      <c r="H508" s="114" t="str">
        <f t="shared" si="70"/>
        <v/>
      </c>
      <c r="I508" s="111" t="s">
        <v>65</v>
      </c>
      <c r="J508" s="113" t="str">
        <f t="shared" si="71"/>
        <v>-</v>
      </c>
      <c r="K508" s="113" t="str">
        <f t="shared" si="72"/>
        <v/>
      </c>
      <c r="L508" s="114" t="str">
        <f t="shared" si="73"/>
        <v/>
      </c>
      <c r="M508" s="124" t="s">
        <v>65</v>
      </c>
      <c r="V508" s="117" t="str">
        <f t="shared" si="61"/>
        <v xml:space="preserve">   </v>
      </c>
    </row>
    <row r="509" spans="5:22">
      <c r="E509" s="118" t="s">
        <v>64</v>
      </c>
      <c r="F509" s="113" t="str">
        <f t="shared" si="68"/>
        <v>-</v>
      </c>
      <c r="G509" s="114" t="str">
        <f t="shared" si="69"/>
        <v/>
      </c>
      <c r="H509" s="114" t="str">
        <f t="shared" si="70"/>
        <v/>
      </c>
      <c r="I509" s="111" t="s">
        <v>65</v>
      </c>
      <c r="J509" s="113" t="str">
        <f t="shared" si="71"/>
        <v>-</v>
      </c>
      <c r="K509" s="113" t="str">
        <f t="shared" si="72"/>
        <v/>
      </c>
      <c r="L509" s="114" t="str">
        <f t="shared" si="73"/>
        <v/>
      </c>
      <c r="M509" s="124" t="s">
        <v>65</v>
      </c>
      <c r="V509" s="117" t="str">
        <f t="shared" si="61"/>
        <v xml:space="preserve">   </v>
      </c>
    </row>
    <row r="510" spans="5:22">
      <c r="E510" s="118" t="s">
        <v>64</v>
      </c>
      <c r="F510" s="113" t="str">
        <f t="shared" si="68"/>
        <v>-</v>
      </c>
      <c r="G510" s="114" t="str">
        <f t="shared" si="69"/>
        <v/>
      </c>
      <c r="H510" s="114" t="str">
        <f t="shared" si="70"/>
        <v/>
      </c>
      <c r="I510" s="111" t="s">
        <v>65</v>
      </c>
      <c r="J510" s="113" t="str">
        <f t="shared" si="71"/>
        <v>-</v>
      </c>
      <c r="K510" s="113" t="str">
        <f t="shared" si="72"/>
        <v/>
      </c>
      <c r="L510" s="114" t="str">
        <f t="shared" si="73"/>
        <v/>
      </c>
      <c r="M510" s="124" t="s">
        <v>65</v>
      </c>
      <c r="V510" s="117" t="str">
        <f t="shared" si="61"/>
        <v xml:space="preserve">   </v>
      </c>
    </row>
    <row r="511" spans="5:22">
      <c r="E511" s="118" t="s">
        <v>64</v>
      </c>
      <c r="F511" s="113" t="str">
        <f t="shared" si="68"/>
        <v>-</v>
      </c>
      <c r="G511" s="114" t="str">
        <f t="shared" si="69"/>
        <v/>
      </c>
      <c r="H511" s="114" t="str">
        <f t="shared" si="70"/>
        <v/>
      </c>
      <c r="I511" s="111" t="s">
        <v>65</v>
      </c>
      <c r="J511" s="113" t="str">
        <f t="shared" si="71"/>
        <v>-</v>
      </c>
      <c r="K511" s="113" t="str">
        <f t="shared" si="72"/>
        <v/>
      </c>
      <c r="L511" s="114" t="str">
        <f t="shared" si="73"/>
        <v/>
      </c>
      <c r="M511" s="124" t="s">
        <v>65</v>
      </c>
      <c r="V511" s="117" t="str">
        <f t="shared" si="61"/>
        <v xml:space="preserve">   </v>
      </c>
    </row>
    <row r="512" spans="5:22">
      <c r="E512" s="118" t="s">
        <v>64</v>
      </c>
      <c r="F512" s="113" t="str">
        <f t="shared" si="68"/>
        <v>-</v>
      </c>
      <c r="G512" s="114" t="str">
        <f t="shared" si="69"/>
        <v/>
      </c>
      <c r="H512" s="114" t="str">
        <f t="shared" si="70"/>
        <v/>
      </c>
      <c r="I512" s="111" t="s">
        <v>65</v>
      </c>
      <c r="J512" s="113" t="str">
        <f t="shared" si="71"/>
        <v>-</v>
      </c>
      <c r="K512" s="113" t="str">
        <f t="shared" si="72"/>
        <v/>
      </c>
      <c r="L512" s="114" t="str">
        <f t="shared" si="73"/>
        <v/>
      </c>
      <c r="M512" s="124" t="s">
        <v>65</v>
      </c>
      <c r="V512" s="117" t="str">
        <f t="shared" si="61"/>
        <v xml:space="preserve">   </v>
      </c>
    </row>
    <row r="513" spans="5:22">
      <c r="E513" s="118" t="s">
        <v>64</v>
      </c>
      <c r="F513" s="113" t="str">
        <f t="shared" si="68"/>
        <v>-</v>
      </c>
      <c r="G513" s="114" t="str">
        <f t="shared" si="69"/>
        <v/>
      </c>
      <c r="H513" s="114" t="str">
        <f t="shared" si="70"/>
        <v/>
      </c>
      <c r="I513" s="111" t="s">
        <v>65</v>
      </c>
      <c r="J513" s="113" t="str">
        <f t="shared" si="71"/>
        <v>-</v>
      </c>
      <c r="K513" s="113" t="str">
        <f t="shared" si="72"/>
        <v/>
      </c>
      <c r="L513" s="114" t="str">
        <f t="shared" si="73"/>
        <v/>
      </c>
      <c r="M513" s="124" t="s">
        <v>65</v>
      </c>
      <c r="V513" s="117" t="str">
        <f t="shared" si="61"/>
        <v xml:space="preserve">   </v>
      </c>
    </row>
    <row r="514" spans="5:22">
      <c r="E514" s="118" t="s">
        <v>64</v>
      </c>
      <c r="F514" s="113" t="str">
        <f t="shared" si="68"/>
        <v>-</v>
      </c>
      <c r="G514" s="114" t="str">
        <f t="shared" si="69"/>
        <v/>
      </c>
      <c r="H514" s="114" t="str">
        <f t="shared" si="70"/>
        <v/>
      </c>
      <c r="I514" s="111" t="s">
        <v>65</v>
      </c>
      <c r="J514" s="113" t="str">
        <f t="shared" si="71"/>
        <v>-</v>
      </c>
      <c r="K514" s="113" t="str">
        <f t="shared" si="72"/>
        <v/>
      </c>
      <c r="L514" s="114" t="str">
        <f t="shared" si="73"/>
        <v/>
      </c>
      <c r="M514" s="124" t="s">
        <v>65</v>
      </c>
      <c r="V514" s="117" t="str">
        <f t="shared" si="61"/>
        <v xml:space="preserve">   </v>
      </c>
    </row>
    <row r="515" spans="5:22">
      <c r="E515" s="118" t="s">
        <v>64</v>
      </c>
      <c r="F515" s="113" t="str">
        <f t="shared" si="68"/>
        <v>-</v>
      </c>
      <c r="G515" s="114" t="str">
        <f t="shared" si="69"/>
        <v/>
      </c>
      <c r="H515" s="114" t="str">
        <f t="shared" si="70"/>
        <v/>
      </c>
      <c r="I515" s="111" t="s">
        <v>65</v>
      </c>
      <c r="J515" s="113" t="str">
        <f t="shared" si="71"/>
        <v>-</v>
      </c>
      <c r="K515" s="113" t="str">
        <f t="shared" si="72"/>
        <v/>
      </c>
      <c r="L515" s="114" t="str">
        <f t="shared" si="73"/>
        <v/>
      </c>
      <c r="M515" s="124" t="s">
        <v>65</v>
      </c>
      <c r="V515" s="117" t="str">
        <f t="shared" si="61"/>
        <v xml:space="preserve">   </v>
      </c>
    </row>
    <row r="516" spans="5:22">
      <c r="E516" s="118" t="s">
        <v>64</v>
      </c>
      <c r="F516" s="113" t="str">
        <f t="shared" si="68"/>
        <v>-</v>
      </c>
      <c r="G516" s="114" t="str">
        <f t="shared" si="69"/>
        <v/>
      </c>
      <c r="H516" s="114" t="str">
        <f t="shared" si="70"/>
        <v/>
      </c>
      <c r="I516" s="111" t="s">
        <v>65</v>
      </c>
      <c r="J516" s="113" t="str">
        <f t="shared" si="71"/>
        <v>-</v>
      </c>
      <c r="K516" s="113" t="str">
        <f t="shared" si="72"/>
        <v/>
      </c>
      <c r="L516" s="114" t="str">
        <f t="shared" si="73"/>
        <v/>
      </c>
      <c r="M516" s="124" t="s">
        <v>65</v>
      </c>
      <c r="V516" s="117" t="str">
        <f t="shared" si="61"/>
        <v xml:space="preserve">   </v>
      </c>
    </row>
    <row r="517" spans="5:22">
      <c r="E517" s="118" t="s">
        <v>64</v>
      </c>
      <c r="F517" s="113" t="str">
        <f t="shared" si="68"/>
        <v>-</v>
      </c>
      <c r="G517" s="114" t="str">
        <f t="shared" si="69"/>
        <v/>
      </c>
      <c r="H517" s="114" t="str">
        <f t="shared" si="70"/>
        <v/>
      </c>
      <c r="I517" s="111" t="s">
        <v>65</v>
      </c>
      <c r="J517" s="113" t="str">
        <f t="shared" si="71"/>
        <v>-</v>
      </c>
      <c r="K517" s="113" t="str">
        <f t="shared" si="72"/>
        <v/>
      </c>
      <c r="L517" s="114" t="str">
        <f t="shared" si="73"/>
        <v/>
      </c>
      <c r="M517" s="124" t="s">
        <v>65</v>
      </c>
      <c r="V517" s="117" t="str">
        <f t="shared" si="61"/>
        <v xml:space="preserve">   </v>
      </c>
    </row>
    <row r="518" spans="5:22">
      <c r="E518" s="118" t="s">
        <v>64</v>
      </c>
      <c r="F518" s="113" t="str">
        <f t="shared" si="68"/>
        <v>-</v>
      </c>
      <c r="G518" s="114" t="str">
        <f t="shared" si="69"/>
        <v/>
      </c>
      <c r="H518" s="114" t="str">
        <f t="shared" si="70"/>
        <v/>
      </c>
      <c r="I518" s="111" t="s">
        <v>65</v>
      </c>
      <c r="J518" s="113" t="str">
        <f t="shared" si="71"/>
        <v>-</v>
      </c>
      <c r="K518" s="113" t="str">
        <f t="shared" si="72"/>
        <v/>
      </c>
      <c r="L518" s="114" t="str">
        <f t="shared" si="73"/>
        <v/>
      </c>
      <c r="M518" s="124" t="s">
        <v>65</v>
      </c>
      <c r="V518" s="117" t="str">
        <f t="shared" ref="V518:V581" si="74">CONCATENATE(A518," ",B518," ",C518," ",D518)</f>
        <v xml:space="preserve">   </v>
      </c>
    </row>
    <row r="519" spans="5:22">
      <c r="E519" s="118" t="s">
        <v>64</v>
      </c>
      <c r="F519" s="113" t="str">
        <f t="shared" si="68"/>
        <v>-</v>
      </c>
      <c r="G519" s="114" t="str">
        <f t="shared" si="69"/>
        <v/>
      </c>
      <c r="H519" s="114" t="str">
        <f t="shared" si="70"/>
        <v/>
      </c>
      <c r="I519" s="111" t="s">
        <v>65</v>
      </c>
      <c r="J519" s="113" t="str">
        <f t="shared" si="71"/>
        <v>-</v>
      </c>
      <c r="K519" s="113" t="str">
        <f t="shared" si="72"/>
        <v/>
      </c>
      <c r="L519" s="114" t="str">
        <f t="shared" si="73"/>
        <v/>
      </c>
      <c r="M519" s="124" t="s">
        <v>65</v>
      </c>
      <c r="V519" s="117" t="str">
        <f t="shared" si="74"/>
        <v xml:space="preserve">   </v>
      </c>
    </row>
    <row r="520" spans="5:22">
      <c r="E520" s="118" t="s">
        <v>64</v>
      </c>
      <c r="F520" s="113" t="str">
        <f t="shared" si="68"/>
        <v>-</v>
      </c>
      <c r="G520" s="114" t="str">
        <f t="shared" si="69"/>
        <v/>
      </c>
      <c r="H520" s="114" t="str">
        <f t="shared" si="70"/>
        <v/>
      </c>
      <c r="I520" s="111" t="s">
        <v>65</v>
      </c>
      <c r="J520" s="113" t="str">
        <f t="shared" si="71"/>
        <v>-</v>
      </c>
      <c r="K520" s="113" t="str">
        <f t="shared" si="72"/>
        <v/>
      </c>
      <c r="L520" s="114" t="str">
        <f t="shared" si="73"/>
        <v/>
      </c>
      <c r="M520" s="124" t="s">
        <v>65</v>
      </c>
      <c r="V520" s="117" t="str">
        <f t="shared" si="74"/>
        <v xml:space="preserve">   </v>
      </c>
    </row>
    <row r="521" spans="5:22">
      <c r="E521" s="118" t="s">
        <v>64</v>
      </c>
      <c r="F521" s="113" t="str">
        <f t="shared" si="68"/>
        <v>-</v>
      </c>
      <c r="G521" s="114" t="str">
        <f t="shared" si="69"/>
        <v/>
      </c>
      <c r="H521" s="114" t="str">
        <f t="shared" si="70"/>
        <v/>
      </c>
      <c r="I521" s="111" t="s">
        <v>65</v>
      </c>
      <c r="J521" s="113" t="str">
        <f t="shared" si="71"/>
        <v>-</v>
      </c>
      <c r="K521" s="113" t="str">
        <f t="shared" si="72"/>
        <v/>
      </c>
      <c r="L521" s="114" t="str">
        <f t="shared" si="73"/>
        <v/>
      </c>
      <c r="M521" s="124" t="s">
        <v>65</v>
      </c>
      <c r="V521" s="117" t="str">
        <f t="shared" si="74"/>
        <v xml:space="preserve">   </v>
      </c>
    </row>
    <row r="522" spans="5:22">
      <c r="E522" s="118" t="s">
        <v>64</v>
      </c>
      <c r="F522" s="113" t="str">
        <f t="shared" si="68"/>
        <v>-</v>
      </c>
      <c r="G522" s="114" t="str">
        <f t="shared" si="69"/>
        <v/>
      </c>
      <c r="H522" s="114" t="str">
        <f t="shared" si="70"/>
        <v/>
      </c>
      <c r="I522" s="111" t="s">
        <v>65</v>
      </c>
      <c r="J522" s="113" t="str">
        <f t="shared" si="71"/>
        <v>-</v>
      </c>
      <c r="K522" s="113" t="str">
        <f t="shared" si="72"/>
        <v/>
      </c>
      <c r="L522" s="114" t="str">
        <f t="shared" si="73"/>
        <v/>
      </c>
      <c r="M522" s="124" t="s">
        <v>65</v>
      </c>
      <c r="V522" s="117" t="str">
        <f t="shared" si="74"/>
        <v xml:space="preserve">   </v>
      </c>
    </row>
    <row r="523" spans="5:22">
      <c r="E523" s="118" t="s">
        <v>64</v>
      </c>
      <c r="F523" s="113" t="str">
        <f t="shared" si="68"/>
        <v>-</v>
      </c>
      <c r="G523" s="114" t="str">
        <f t="shared" si="69"/>
        <v/>
      </c>
      <c r="H523" s="114" t="str">
        <f t="shared" si="70"/>
        <v/>
      </c>
      <c r="I523" s="111" t="s">
        <v>65</v>
      </c>
      <c r="J523" s="113" t="str">
        <f t="shared" si="71"/>
        <v>-</v>
      </c>
      <c r="K523" s="113" t="str">
        <f t="shared" si="72"/>
        <v/>
      </c>
      <c r="L523" s="114" t="str">
        <f t="shared" si="73"/>
        <v/>
      </c>
      <c r="M523" s="124" t="s">
        <v>65</v>
      </c>
      <c r="V523" s="117" t="str">
        <f t="shared" si="74"/>
        <v xml:space="preserve">   </v>
      </c>
    </row>
    <row r="524" spans="5:22">
      <c r="E524" s="118" t="s">
        <v>64</v>
      </c>
      <c r="F524" s="113" t="str">
        <f t="shared" si="68"/>
        <v>-</v>
      </c>
      <c r="G524" s="114" t="str">
        <f t="shared" si="69"/>
        <v/>
      </c>
      <c r="H524" s="114" t="str">
        <f t="shared" si="70"/>
        <v/>
      </c>
      <c r="I524" s="111" t="s">
        <v>65</v>
      </c>
      <c r="J524" s="113" t="str">
        <f t="shared" si="71"/>
        <v>-</v>
      </c>
      <c r="K524" s="113" t="str">
        <f t="shared" si="72"/>
        <v/>
      </c>
      <c r="L524" s="114" t="str">
        <f t="shared" si="73"/>
        <v/>
      </c>
      <c r="M524" s="124" t="s">
        <v>65</v>
      </c>
      <c r="V524" s="117" t="str">
        <f t="shared" si="74"/>
        <v xml:space="preserve">   </v>
      </c>
    </row>
    <row r="525" spans="5:22">
      <c r="E525" s="118" t="s">
        <v>64</v>
      </c>
      <c r="F525" s="113" t="str">
        <f t="shared" si="68"/>
        <v>-</v>
      </c>
      <c r="G525" s="114" t="str">
        <f t="shared" si="69"/>
        <v/>
      </c>
      <c r="H525" s="114" t="str">
        <f t="shared" si="70"/>
        <v/>
      </c>
      <c r="I525" s="111" t="s">
        <v>65</v>
      </c>
      <c r="J525" s="113" t="str">
        <f t="shared" si="71"/>
        <v>-</v>
      </c>
      <c r="K525" s="113" t="str">
        <f t="shared" si="72"/>
        <v/>
      </c>
      <c r="L525" s="114" t="str">
        <f t="shared" si="73"/>
        <v/>
      </c>
      <c r="M525" s="124" t="s">
        <v>65</v>
      </c>
      <c r="V525" s="117" t="str">
        <f t="shared" si="74"/>
        <v xml:space="preserve">   </v>
      </c>
    </row>
    <row r="526" spans="5:22">
      <c r="E526" s="118" t="s">
        <v>64</v>
      </c>
      <c r="F526" s="113" t="str">
        <f t="shared" si="68"/>
        <v>-</v>
      </c>
      <c r="G526" s="114" t="str">
        <f t="shared" si="69"/>
        <v/>
      </c>
      <c r="H526" s="114" t="str">
        <f t="shared" si="70"/>
        <v/>
      </c>
      <c r="I526" s="111" t="s">
        <v>65</v>
      </c>
      <c r="J526" s="113" t="str">
        <f t="shared" si="71"/>
        <v>-</v>
      </c>
      <c r="K526" s="113" t="str">
        <f t="shared" si="72"/>
        <v/>
      </c>
      <c r="L526" s="114" t="str">
        <f t="shared" si="73"/>
        <v/>
      </c>
      <c r="M526" s="124" t="s">
        <v>65</v>
      </c>
      <c r="V526" s="117" t="str">
        <f t="shared" si="74"/>
        <v xml:space="preserve">   </v>
      </c>
    </row>
    <row r="527" spans="5:22">
      <c r="E527" s="118" t="s">
        <v>64</v>
      </c>
      <c r="F527" s="113" t="str">
        <f t="shared" si="68"/>
        <v>-</v>
      </c>
      <c r="G527" s="114" t="str">
        <f t="shared" si="69"/>
        <v/>
      </c>
      <c r="H527" s="114" t="str">
        <f t="shared" si="70"/>
        <v/>
      </c>
      <c r="I527" s="111" t="s">
        <v>65</v>
      </c>
      <c r="J527" s="113" t="str">
        <f t="shared" si="71"/>
        <v>-</v>
      </c>
      <c r="K527" s="113" t="str">
        <f t="shared" si="72"/>
        <v/>
      </c>
      <c r="L527" s="114" t="str">
        <f t="shared" si="73"/>
        <v/>
      </c>
      <c r="M527" s="124" t="s">
        <v>65</v>
      </c>
      <c r="V527" s="117" t="str">
        <f t="shared" si="74"/>
        <v xml:space="preserve">   </v>
      </c>
    </row>
    <row r="528" spans="5:22">
      <c r="E528" s="118" t="s">
        <v>64</v>
      </c>
      <c r="F528" s="113" t="str">
        <f t="shared" si="68"/>
        <v>-</v>
      </c>
      <c r="G528" s="114" t="str">
        <f t="shared" si="69"/>
        <v/>
      </c>
      <c r="H528" s="114" t="str">
        <f t="shared" si="70"/>
        <v/>
      </c>
      <c r="I528" s="111" t="s">
        <v>65</v>
      </c>
      <c r="J528" s="113" t="str">
        <f t="shared" si="71"/>
        <v>-</v>
      </c>
      <c r="K528" s="113" t="str">
        <f t="shared" si="72"/>
        <v/>
      </c>
      <c r="L528" s="114" t="str">
        <f t="shared" si="73"/>
        <v/>
      </c>
      <c r="M528" s="124" t="s">
        <v>65</v>
      </c>
      <c r="V528" s="117" t="str">
        <f t="shared" si="74"/>
        <v xml:space="preserve">   </v>
      </c>
    </row>
    <row r="529" spans="5:22">
      <c r="E529" s="118" t="s">
        <v>64</v>
      </c>
      <c r="F529" s="113" t="str">
        <f t="shared" si="68"/>
        <v>-</v>
      </c>
      <c r="G529" s="114" t="str">
        <f t="shared" si="69"/>
        <v/>
      </c>
      <c r="H529" s="114" t="str">
        <f t="shared" si="70"/>
        <v/>
      </c>
      <c r="I529" s="111" t="s">
        <v>65</v>
      </c>
      <c r="J529" s="113" t="str">
        <f t="shared" si="71"/>
        <v>-</v>
      </c>
      <c r="K529" s="113" t="str">
        <f t="shared" si="72"/>
        <v/>
      </c>
      <c r="L529" s="114" t="str">
        <f t="shared" si="73"/>
        <v/>
      </c>
      <c r="M529" s="124" t="s">
        <v>65</v>
      </c>
      <c r="V529" s="117" t="str">
        <f t="shared" si="74"/>
        <v xml:space="preserve">   </v>
      </c>
    </row>
    <row r="530" spans="5:22">
      <c r="E530" s="118" t="s">
        <v>64</v>
      </c>
      <c r="F530" s="113" t="str">
        <f t="shared" si="68"/>
        <v>-</v>
      </c>
      <c r="G530" s="114" t="str">
        <f t="shared" si="69"/>
        <v/>
      </c>
      <c r="H530" s="114" t="str">
        <f t="shared" si="70"/>
        <v/>
      </c>
      <c r="I530" s="111" t="s">
        <v>65</v>
      </c>
      <c r="J530" s="113" t="str">
        <f t="shared" si="71"/>
        <v>-</v>
      </c>
      <c r="K530" s="113" t="str">
        <f t="shared" si="72"/>
        <v/>
      </c>
      <c r="L530" s="114" t="str">
        <f t="shared" si="73"/>
        <v/>
      </c>
      <c r="M530" s="124" t="s">
        <v>65</v>
      </c>
      <c r="V530" s="117" t="str">
        <f t="shared" si="74"/>
        <v xml:space="preserve">   </v>
      </c>
    </row>
    <row r="531" spans="5:22">
      <c r="E531" s="118" t="s">
        <v>64</v>
      </c>
      <c r="F531" s="113" t="str">
        <f t="shared" si="68"/>
        <v>-</v>
      </c>
      <c r="G531" s="114" t="str">
        <f t="shared" si="69"/>
        <v/>
      </c>
      <c r="H531" s="114" t="str">
        <f t="shared" si="70"/>
        <v/>
      </c>
      <c r="I531" s="111" t="s">
        <v>65</v>
      </c>
      <c r="J531" s="113" t="str">
        <f t="shared" si="71"/>
        <v>-</v>
      </c>
      <c r="K531" s="113" t="str">
        <f t="shared" si="72"/>
        <v/>
      </c>
      <c r="L531" s="114" t="str">
        <f t="shared" si="73"/>
        <v/>
      </c>
      <c r="M531" s="124" t="s">
        <v>65</v>
      </c>
      <c r="V531" s="117" t="str">
        <f t="shared" si="74"/>
        <v xml:space="preserve">   </v>
      </c>
    </row>
    <row r="532" spans="5:22">
      <c r="E532" s="118" t="s">
        <v>64</v>
      </c>
      <c r="F532" s="113" t="str">
        <f t="shared" si="68"/>
        <v>-</v>
      </c>
      <c r="G532" s="114" t="str">
        <f t="shared" si="69"/>
        <v/>
      </c>
      <c r="H532" s="114" t="str">
        <f t="shared" si="70"/>
        <v/>
      </c>
      <c r="I532" s="111" t="s">
        <v>65</v>
      </c>
      <c r="J532" s="113" t="str">
        <f t="shared" si="71"/>
        <v>-</v>
      </c>
      <c r="K532" s="113" t="str">
        <f t="shared" si="72"/>
        <v/>
      </c>
      <c r="L532" s="114" t="str">
        <f t="shared" si="73"/>
        <v/>
      </c>
      <c r="M532" s="124" t="s">
        <v>65</v>
      </c>
      <c r="V532" s="117" t="str">
        <f t="shared" si="74"/>
        <v xml:space="preserve">   </v>
      </c>
    </row>
    <row r="533" spans="5:22">
      <c r="E533" s="118" t="s">
        <v>64</v>
      </c>
      <c r="F533" s="113" t="str">
        <f t="shared" si="68"/>
        <v>-</v>
      </c>
      <c r="G533" s="114" t="str">
        <f t="shared" si="69"/>
        <v/>
      </c>
      <c r="H533" s="114" t="str">
        <f t="shared" si="70"/>
        <v/>
      </c>
      <c r="I533" s="111" t="s">
        <v>65</v>
      </c>
      <c r="J533" s="113" t="str">
        <f t="shared" si="71"/>
        <v>-</v>
      </c>
      <c r="K533" s="113" t="str">
        <f t="shared" si="72"/>
        <v/>
      </c>
      <c r="L533" s="114" t="str">
        <f t="shared" si="73"/>
        <v/>
      </c>
      <c r="M533" s="124" t="s">
        <v>65</v>
      </c>
      <c r="V533" s="117" t="str">
        <f t="shared" si="74"/>
        <v xml:space="preserve">   </v>
      </c>
    </row>
    <row r="534" spans="5:22">
      <c r="E534" s="118" t="s">
        <v>64</v>
      </c>
      <c r="F534" s="113" t="str">
        <f t="shared" si="68"/>
        <v>-</v>
      </c>
      <c r="G534" s="114" t="str">
        <f t="shared" si="69"/>
        <v/>
      </c>
      <c r="H534" s="114" t="str">
        <f t="shared" si="70"/>
        <v/>
      </c>
      <c r="I534" s="111" t="s">
        <v>65</v>
      </c>
      <c r="J534" s="113" t="str">
        <f t="shared" si="71"/>
        <v>-</v>
      </c>
      <c r="K534" s="113" t="str">
        <f t="shared" si="72"/>
        <v/>
      </c>
      <c r="L534" s="114" t="str">
        <f t="shared" si="73"/>
        <v/>
      </c>
      <c r="M534" s="124" t="s">
        <v>65</v>
      </c>
      <c r="V534" s="117" t="str">
        <f t="shared" si="74"/>
        <v xml:space="preserve">   </v>
      </c>
    </row>
    <row r="535" spans="5:22">
      <c r="E535" s="118" t="s">
        <v>64</v>
      </c>
      <c r="F535" s="113" t="str">
        <f t="shared" si="68"/>
        <v>-</v>
      </c>
      <c r="G535" s="114" t="str">
        <f t="shared" si="69"/>
        <v/>
      </c>
      <c r="H535" s="114" t="str">
        <f t="shared" si="70"/>
        <v/>
      </c>
      <c r="I535" s="111" t="s">
        <v>65</v>
      </c>
      <c r="J535" s="113" t="str">
        <f t="shared" si="71"/>
        <v>-</v>
      </c>
      <c r="K535" s="113" t="str">
        <f t="shared" si="72"/>
        <v/>
      </c>
      <c r="L535" s="114" t="str">
        <f t="shared" si="73"/>
        <v/>
      </c>
      <c r="M535" s="124" t="s">
        <v>65</v>
      </c>
      <c r="V535" s="117" t="str">
        <f t="shared" si="74"/>
        <v xml:space="preserve">   </v>
      </c>
    </row>
    <row r="536" spans="5:22">
      <c r="E536" s="118" t="s">
        <v>64</v>
      </c>
      <c r="F536" s="113" t="str">
        <f t="shared" si="68"/>
        <v>-</v>
      </c>
      <c r="G536" s="114" t="str">
        <f t="shared" si="69"/>
        <v/>
      </c>
      <c r="H536" s="114" t="str">
        <f t="shared" si="70"/>
        <v/>
      </c>
      <c r="I536" s="111" t="s">
        <v>65</v>
      </c>
      <c r="J536" s="113" t="str">
        <f t="shared" si="71"/>
        <v>-</v>
      </c>
      <c r="K536" s="113" t="str">
        <f t="shared" si="72"/>
        <v/>
      </c>
      <c r="L536" s="114" t="str">
        <f t="shared" si="73"/>
        <v/>
      </c>
      <c r="M536" s="124" t="s">
        <v>65</v>
      </c>
      <c r="V536" s="117" t="str">
        <f t="shared" si="74"/>
        <v xml:space="preserve">   </v>
      </c>
    </row>
    <row r="537" spans="5:22">
      <c r="E537" s="118" t="s">
        <v>64</v>
      </c>
      <c r="F537" s="113" t="str">
        <f t="shared" si="68"/>
        <v>-</v>
      </c>
      <c r="G537" s="114" t="str">
        <f t="shared" si="69"/>
        <v/>
      </c>
      <c r="H537" s="114" t="str">
        <f t="shared" si="70"/>
        <v/>
      </c>
      <c r="I537" s="111" t="s">
        <v>65</v>
      </c>
      <c r="J537" s="113" t="str">
        <f t="shared" si="71"/>
        <v>-</v>
      </c>
      <c r="K537" s="113" t="str">
        <f t="shared" si="72"/>
        <v/>
      </c>
      <c r="L537" s="114" t="str">
        <f t="shared" si="73"/>
        <v/>
      </c>
      <c r="M537" s="124" t="s">
        <v>65</v>
      </c>
      <c r="V537" s="117" t="str">
        <f t="shared" si="74"/>
        <v xml:space="preserve">   </v>
      </c>
    </row>
    <row r="538" spans="5:22">
      <c r="E538" s="118" t="s">
        <v>64</v>
      </c>
      <c r="F538" s="113" t="str">
        <f t="shared" si="68"/>
        <v>-</v>
      </c>
      <c r="G538" s="114" t="str">
        <f t="shared" si="69"/>
        <v/>
      </c>
      <c r="H538" s="114" t="str">
        <f t="shared" si="70"/>
        <v/>
      </c>
      <c r="I538" s="111" t="s">
        <v>65</v>
      </c>
      <c r="J538" s="113" t="str">
        <f t="shared" si="71"/>
        <v>-</v>
      </c>
      <c r="K538" s="113" t="str">
        <f t="shared" si="72"/>
        <v/>
      </c>
      <c r="L538" s="114" t="str">
        <f t="shared" si="73"/>
        <v/>
      </c>
      <c r="M538" s="124" t="s">
        <v>65</v>
      </c>
      <c r="V538" s="117" t="str">
        <f t="shared" si="74"/>
        <v xml:space="preserve">   </v>
      </c>
    </row>
    <row r="539" spans="5:22">
      <c r="E539" s="118" t="s">
        <v>64</v>
      </c>
      <c r="F539" s="113" t="str">
        <f t="shared" si="68"/>
        <v>-</v>
      </c>
      <c r="G539" s="114" t="str">
        <f t="shared" si="69"/>
        <v/>
      </c>
      <c r="H539" s="114" t="str">
        <f t="shared" si="70"/>
        <v/>
      </c>
      <c r="I539" s="111" t="s">
        <v>65</v>
      </c>
      <c r="J539" s="113" t="str">
        <f t="shared" si="71"/>
        <v>-</v>
      </c>
      <c r="K539" s="113" t="str">
        <f t="shared" si="72"/>
        <v/>
      </c>
      <c r="L539" s="114" t="str">
        <f t="shared" si="73"/>
        <v/>
      </c>
      <c r="M539" s="124" t="s">
        <v>65</v>
      </c>
      <c r="V539" s="117" t="str">
        <f t="shared" si="74"/>
        <v xml:space="preserve">   </v>
      </c>
    </row>
    <row r="540" spans="5:22">
      <c r="E540" s="118" t="s">
        <v>64</v>
      </c>
      <c r="F540" s="113" t="str">
        <f t="shared" si="68"/>
        <v>-</v>
      </c>
      <c r="G540" s="114" t="str">
        <f t="shared" si="69"/>
        <v/>
      </c>
      <c r="H540" s="114" t="str">
        <f t="shared" si="70"/>
        <v/>
      </c>
      <c r="I540" s="111" t="s">
        <v>65</v>
      </c>
      <c r="J540" s="113" t="str">
        <f t="shared" si="71"/>
        <v>-</v>
      </c>
      <c r="K540" s="113" t="str">
        <f t="shared" si="72"/>
        <v/>
      </c>
      <c r="L540" s="114" t="str">
        <f t="shared" si="73"/>
        <v/>
      </c>
      <c r="M540" s="124" t="s">
        <v>65</v>
      </c>
      <c r="V540" s="117" t="str">
        <f t="shared" si="74"/>
        <v xml:space="preserve">   </v>
      </c>
    </row>
    <row r="541" spans="5:22">
      <c r="E541" s="118" t="s">
        <v>64</v>
      </c>
      <c r="F541" s="113" t="str">
        <f t="shared" si="68"/>
        <v>-</v>
      </c>
      <c r="G541" s="114" t="str">
        <f t="shared" si="69"/>
        <v/>
      </c>
      <c r="H541" s="114" t="str">
        <f t="shared" si="70"/>
        <v/>
      </c>
      <c r="I541" s="111" t="s">
        <v>65</v>
      </c>
      <c r="J541" s="113" t="str">
        <f t="shared" si="71"/>
        <v>-</v>
      </c>
      <c r="K541" s="113" t="str">
        <f t="shared" si="72"/>
        <v/>
      </c>
      <c r="L541" s="114" t="str">
        <f t="shared" si="73"/>
        <v/>
      </c>
      <c r="M541" s="124" t="s">
        <v>65</v>
      </c>
      <c r="V541" s="117" t="str">
        <f t="shared" si="74"/>
        <v xml:space="preserve">   </v>
      </c>
    </row>
    <row r="542" spans="5:22">
      <c r="E542" s="118" t="s">
        <v>64</v>
      </c>
      <c r="F542" s="113" t="str">
        <f t="shared" si="68"/>
        <v>-</v>
      </c>
      <c r="G542" s="114" t="str">
        <f t="shared" si="69"/>
        <v/>
      </c>
      <c r="H542" s="114" t="str">
        <f t="shared" si="70"/>
        <v/>
      </c>
      <c r="I542" s="111" t="s">
        <v>65</v>
      </c>
      <c r="J542" s="113" t="str">
        <f t="shared" si="71"/>
        <v>-</v>
      </c>
      <c r="K542" s="113" t="str">
        <f t="shared" si="72"/>
        <v/>
      </c>
      <c r="L542" s="114" t="str">
        <f t="shared" si="73"/>
        <v/>
      </c>
      <c r="M542" s="124" t="s">
        <v>65</v>
      </c>
      <c r="V542" s="117" t="str">
        <f t="shared" si="74"/>
        <v xml:space="preserve">   </v>
      </c>
    </row>
    <row r="543" spans="5:22">
      <c r="E543" s="118" t="s">
        <v>64</v>
      </c>
      <c r="F543" s="113" t="str">
        <f t="shared" si="68"/>
        <v>-</v>
      </c>
      <c r="G543" s="114" t="str">
        <f t="shared" si="69"/>
        <v/>
      </c>
      <c r="H543" s="114" t="str">
        <f t="shared" si="70"/>
        <v/>
      </c>
      <c r="I543" s="111" t="s">
        <v>65</v>
      </c>
      <c r="J543" s="113" t="str">
        <f t="shared" si="71"/>
        <v>-</v>
      </c>
      <c r="K543" s="113" t="str">
        <f t="shared" si="72"/>
        <v/>
      </c>
      <c r="L543" s="114" t="str">
        <f t="shared" si="73"/>
        <v/>
      </c>
      <c r="M543" s="124" t="s">
        <v>65</v>
      </c>
      <c r="V543" s="117" t="str">
        <f t="shared" si="74"/>
        <v xml:space="preserve">   </v>
      </c>
    </row>
    <row r="544" spans="5:22">
      <c r="E544" s="118" t="s">
        <v>64</v>
      </c>
      <c r="F544" s="113" t="str">
        <f t="shared" si="68"/>
        <v>-</v>
      </c>
      <c r="G544" s="114" t="str">
        <f t="shared" si="69"/>
        <v/>
      </c>
      <c r="H544" s="114" t="str">
        <f t="shared" si="70"/>
        <v/>
      </c>
      <c r="I544" s="111" t="s">
        <v>65</v>
      </c>
      <c r="J544" s="113" t="str">
        <f t="shared" si="71"/>
        <v>-</v>
      </c>
      <c r="K544" s="113" t="str">
        <f t="shared" si="72"/>
        <v/>
      </c>
      <c r="L544" s="114" t="str">
        <f t="shared" si="73"/>
        <v/>
      </c>
      <c r="M544" s="124" t="s">
        <v>65</v>
      </c>
      <c r="V544" s="117" t="str">
        <f t="shared" si="74"/>
        <v xml:space="preserve">   </v>
      </c>
    </row>
    <row r="545" spans="5:22">
      <c r="E545" s="118" t="s">
        <v>64</v>
      </c>
      <c r="F545" s="113" t="str">
        <f t="shared" si="68"/>
        <v>-</v>
      </c>
      <c r="G545" s="114" t="str">
        <f t="shared" si="69"/>
        <v/>
      </c>
      <c r="H545" s="114" t="str">
        <f t="shared" si="70"/>
        <v/>
      </c>
      <c r="I545" s="111" t="s">
        <v>65</v>
      </c>
      <c r="J545" s="113" t="str">
        <f t="shared" si="71"/>
        <v>-</v>
      </c>
      <c r="K545" s="113" t="str">
        <f t="shared" si="72"/>
        <v/>
      </c>
      <c r="L545" s="114" t="str">
        <f t="shared" si="73"/>
        <v/>
      </c>
      <c r="M545" s="124" t="s">
        <v>65</v>
      </c>
      <c r="V545" s="117" t="str">
        <f t="shared" si="74"/>
        <v xml:space="preserve">   </v>
      </c>
    </row>
    <row r="546" spans="5:22">
      <c r="E546" s="118" t="s">
        <v>64</v>
      </c>
      <c r="F546" s="113" t="str">
        <f t="shared" si="68"/>
        <v>-</v>
      </c>
      <c r="G546" s="114" t="str">
        <f t="shared" si="69"/>
        <v/>
      </c>
      <c r="H546" s="114" t="str">
        <f t="shared" si="70"/>
        <v/>
      </c>
      <c r="I546" s="111" t="s">
        <v>65</v>
      </c>
      <c r="J546" s="113" t="str">
        <f t="shared" si="71"/>
        <v>-</v>
      </c>
      <c r="K546" s="113" t="str">
        <f t="shared" si="72"/>
        <v/>
      </c>
      <c r="L546" s="114" t="str">
        <f t="shared" si="73"/>
        <v/>
      </c>
      <c r="M546" s="124" t="s">
        <v>65</v>
      </c>
      <c r="V546" s="117" t="str">
        <f t="shared" si="74"/>
        <v xml:space="preserve">   </v>
      </c>
    </row>
    <row r="547" spans="5:22">
      <c r="E547" s="118" t="s">
        <v>64</v>
      </c>
      <c r="F547" s="113" t="str">
        <f t="shared" si="68"/>
        <v>-</v>
      </c>
      <c r="G547" s="114" t="str">
        <f t="shared" si="69"/>
        <v/>
      </c>
      <c r="H547" s="114" t="str">
        <f t="shared" si="70"/>
        <v/>
      </c>
      <c r="I547" s="111" t="s">
        <v>65</v>
      </c>
      <c r="J547" s="113" t="str">
        <f t="shared" si="71"/>
        <v>-</v>
      </c>
      <c r="K547" s="113" t="str">
        <f t="shared" si="72"/>
        <v/>
      </c>
      <c r="L547" s="114" t="str">
        <f t="shared" si="73"/>
        <v/>
      </c>
      <c r="M547" s="124" t="s">
        <v>65</v>
      </c>
      <c r="V547" s="117" t="str">
        <f t="shared" si="74"/>
        <v xml:space="preserve">   </v>
      </c>
    </row>
    <row r="548" spans="5:22">
      <c r="E548" s="118" t="s">
        <v>64</v>
      </c>
      <c r="F548" s="113" t="str">
        <f t="shared" si="68"/>
        <v>-</v>
      </c>
      <c r="G548" s="114" t="str">
        <f t="shared" si="69"/>
        <v/>
      </c>
      <c r="H548" s="114" t="str">
        <f t="shared" si="70"/>
        <v/>
      </c>
      <c r="I548" s="111" t="s">
        <v>65</v>
      </c>
      <c r="J548" s="113" t="str">
        <f t="shared" si="71"/>
        <v>-</v>
      </c>
      <c r="K548" s="113" t="str">
        <f t="shared" si="72"/>
        <v/>
      </c>
      <c r="L548" s="114" t="str">
        <f t="shared" si="73"/>
        <v/>
      </c>
      <c r="M548" s="124" t="s">
        <v>65</v>
      </c>
      <c r="V548" s="117" t="str">
        <f t="shared" si="74"/>
        <v xml:space="preserve">   </v>
      </c>
    </row>
    <row r="549" spans="5:22">
      <c r="E549" s="118" t="s">
        <v>64</v>
      </c>
      <c r="F549" s="113" t="str">
        <f t="shared" si="68"/>
        <v>-</v>
      </c>
      <c r="G549" s="114" t="str">
        <f t="shared" si="69"/>
        <v/>
      </c>
      <c r="H549" s="114" t="str">
        <f t="shared" si="70"/>
        <v/>
      </c>
      <c r="I549" s="111" t="s">
        <v>65</v>
      </c>
      <c r="J549" s="113" t="str">
        <f t="shared" si="71"/>
        <v>-</v>
      </c>
      <c r="K549" s="113" t="str">
        <f t="shared" si="72"/>
        <v/>
      </c>
      <c r="L549" s="114" t="str">
        <f t="shared" si="73"/>
        <v/>
      </c>
      <c r="M549" s="124" t="s">
        <v>65</v>
      </c>
      <c r="V549" s="117" t="str">
        <f t="shared" si="74"/>
        <v xml:space="preserve">   </v>
      </c>
    </row>
    <row r="550" spans="5:22">
      <c r="E550" s="118" t="s">
        <v>64</v>
      </c>
      <c r="F550" s="113" t="str">
        <f t="shared" si="68"/>
        <v>-</v>
      </c>
      <c r="G550" s="114" t="str">
        <f t="shared" si="69"/>
        <v/>
      </c>
      <c r="H550" s="114" t="str">
        <f t="shared" si="70"/>
        <v/>
      </c>
      <c r="I550" s="111" t="s">
        <v>65</v>
      </c>
      <c r="J550" s="113" t="str">
        <f t="shared" si="71"/>
        <v>-</v>
      </c>
      <c r="K550" s="113" t="str">
        <f t="shared" si="72"/>
        <v/>
      </c>
      <c r="L550" s="114" t="str">
        <f t="shared" si="73"/>
        <v/>
      </c>
      <c r="M550" s="124" t="s">
        <v>65</v>
      </c>
      <c r="V550" s="117" t="str">
        <f t="shared" si="74"/>
        <v xml:space="preserve">   </v>
      </c>
    </row>
    <row r="551" spans="5:22">
      <c r="E551" s="118" t="s">
        <v>64</v>
      </c>
      <c r="F551" s="113" t="str">
        <f t="shared" si="68"/>
        <v>-</v>
      </c>
      <c r="G551" s="114" t="str">
        <f t="shared" si="69"/>
        <v/>
      </c>
      <c r="H551" s="114" t="str">
        <f t="shared" si="70"/>
        <v/>
      </c>
      <c r="I551" s="111" t="s">
        <v>65</v>
      </c>
      <c r="J551" s="113" t="str">
        <f t="shared" si="71"/>
        <v>-</v>
      </c>
      <c r="K551" s="113" t="str">
        <f t="shared" si="72"/>
        <v/>
      </c>
      <c r="L551" s="114" t="str">
        <f t="shared" si="73"/>
        <v/>
      </c>
      <c r="M551" s="124" t="s">
        <v>65</v>
      </c>
      <c r="V551" s="117" t="str">
        <f t="shared" si="74"/>
        <v xml:space="preserve">   </v>
      </c>
    </row>
    <row r="552" spans="5:22">
      <c r="E552" s="118" t="s">
        <v>64</v>
      </c>
      <c r="F552" s="113" t="str">
        <f t="shared" si="68"/>
        <v>-</v>
      </c>
      <c r="G552" s="114" t="str">
        <f t="shared" si="69"/>
        <v/>
      </c>
      <c r="H552" s="114" t="str">
        <f t="shared" si="70"/>
        <v/>
      </c>
      <c r="I552" s="111" t="s">
        <v>65</v>
      </c>
      <c r="J552" s="113" t="str">
        <f t="shared" si="71"/>
        <v>-</v>
      </c>
      <c r="K552" s="113" t="str">
        <f t="shared" si="72"/>
        <v/>
      </c>
      <c r="L552" s="114" t="str">
        <f t="shared" si="73"/>
        <v/>
      </c>
      <c r="M552" s="124" t="s">
        <v>65</v>
      </c>
      <c r="V552" s="117" t="str">
        <f t="shared" si="74"/>
        <v xml:space="preserve">   </v>
      </c>
    </row>
    <row r="553" spans="5:22">
      <c r="E553" s="118" t="s">
        <v>64</v>
      </c>
      <c r="F553" s="113" t="str">
        <f t="shared" si="68"/>
        <v>-</v>
      </c>
      <c r="G553" s="114" t="str">
        <f t="shared" si="69"/>
        <v/>
      </c>
      <c r="H553" s="114" t="str">
        <f t="shared" si="70"/>
        <v/>
      </c>
      <c r="I553" s="111" t="s">
        <v>65</v>
      </c>
      <c r="J553" s="113" t="str">
        <f t="shared" si="71"/>
        <v>-</v>
      </c>
      <c r="K553" s="113" t="str">
        <f t="shared" si="72"/>
        <v/>
      </c>
      <c r="L553" s="114" t="str">
        <f t="shared" si="73"/>
        <v/>
      </c>
      <c r="M553" s="124" t="s">
        <v>65</v>
      </c>
      <c r="V553" s="117" t="str">
        <f t="shared" si="74"/>
        <v xml:space="preserve">   </v>
      </c>
    </row>
    <row r="554" spans="5:22">
      <c r="E554" s="118" t="s">
        <v>64</v>
      </c>
      <c r="F554" s="113" t="str">
        <f t="shared" si="68"/>
        <v>-</v>
      </c>
      <c r="G554" s="114" t="str">
        <f t="shared" si="69"/>
        <v/>
      </c>
      <c r="H554" s="114" t="str">
        <f t="shared" si="70"/>
        <v/>
      </c>
      <c r="I554" s="111" t="s">
        <v>65</v>
      </c>
      <c r="J554" s="113" t="str">
        <f t="shared" si="71"/>
        <v>-</v>
      </c>
      <c r="K554" s="113" t="str">
        <f t="shared" si="72"/>
        <v/>
      </c>
      <c r="L554" s="114" t="str">
        <f t="shared" si="73"/>
        <v/>
      </c>
      <c r="M554" s="124" t="s">
        <v>65</v>
      </c>
      <c r="V554" s="117" t="str">
        <f t="shared" si="74"/>
        <v xml:space="preserve">   </v>
      </c>
    </row>
    <row r="555" spans="5:22">
      <c r="E555" s="118" t="s">
        <v>64</v>
      </c>
      <c r="F555" s="113" t="str">
        <f t="shared" si="68"/>
        <v>-</v>
      </c>
      <c r="G555" s="114" t="str">
        <f t="shared" si="69"/>
        <v/>
      </c>
      <c r="H555" s="114" t="str">
        <f t="shared" si="70"/>
        <v/>
      </c>
      <c r="I555" s="111" t="s">
        <v>65</v>
      </c>
      <c r="J555" s="113" t="str">
        <f t="shared" si="71"/>
        <v>-</v>
      </c>
      <c r="K555" s="113" t="str">
        <f t="shared" si="72"/>
        <v/>
      </c>
      <c r="L555" s="114" t="str">
        <f t="shared" si="73"/>
        <v/>
      </c>
      <c r="M555" s="124" t="s">
        <v>65</v>
      </c>
      <c r="V555" s="117" t="str">
        <f t="shared" si="74"/>
        <v xml:space="preserve">   </v>
      </c>
    </row>
    <row r="556" spans="5:22">
      <c r="E556" s="118" t="s">
        <v>64</v>
      </c>
      <c r="F556" s="113" t="str">
        <f t="shared" si="68"/>
        <v>-</v>
      </c>
      <c r="G556" s="114" t="str">
        <f t="shared" si="69"/>
        <v/>
      </c>
      <c r="H556" s="114" t="str">
        <f t="shared" si="70"/>
        <v/>
      </c>
      <c r="I556" s="111" t="s">
        <v>65</v>
      </c>
      <c r="J556" s="113" t="str">
        <f t="shared" si="71"/>
        <v>-</v>
      </c>
      <c r="K556" s="113" t="str">
        <f t="shared" si="72"/>
        <v/>
      </c>
      <c r="L556" s="114" t="str">
        <f t="shared" si="73"/>
        <v/>
      </c>
      <c r="M556" s="124" t="s">
        <v>65</v>
      </c>
      <c r="V556" s="117" t="str">
        <f t="shared" si="74"/>
        <v xml:space="preserve">   </v>
      </c>
    </row>
    <row r="557" spans="5:22">
      <c r="E557" s="118" t="s">
        <v>64</v>
      </c>
      <c r="F557" s="113" t="str">
        <f t="shared" si="68"/>
        <v>-</v>
      </c>
      <c r="G557" s="114" t="str">
        <f t="shared" si="69"/>
        <v/>
      </c>
      <c r="H557" s="114" t="str">
        <f t="shared" si="70"/>
        <v/>
      </c>
      <c r="I557" s="111" t="s">
        <v>65</v>
      </c>
      <c r="J557" s="113" t="str">
        <f t="shared" si="71"/>
        <v>-</v>
      </c>
      <c r="K557" s="113" t="str">
        <f t="shared" si="72"/>
        <v/>
      </c>
      <c r="L557" s="114" t="str">
        <f t="shared" si="73"/>
        <v/>
      </c>
      <c r="M557" s="124" t="s">
        <v>65</v>
      </c>
      <c r="V557" s="117" t="str">
        <f t="shared" si="74"/>
        <v xml:space="preserve">   </v>
      </c>
    </row>
    <row r="558" spans="5:22">
      <c r="E558" s="118" t="s">
        <v>64</v>
      </c>
      <c r="F558" s="113" t="str">
        <f t="shared" si="68"/>
        <v>-</v>
      </c>
      <c r="G558" s="114" t="str">
        <f t="shared" si="69"/>
        <v/>
      </c>
      <c r="H558" s="114" t="str">
        <f t="shared" si="70"/>
        <v/>
      </c>
      <c r="I558" s="111" t="s">
        <v>65</v>
      </c>
      <c r="J558" s="113" t="str">
        <f t="shared" si="71"/>
        <v>-</v>
      </c>
      <c r="K558" s="113" t="str">
        <f t="shared" si="72"/>
        <v/>
      </c>
      <c r="L558" s="114" t="str">
        <f t="shared" si="73"/>
        <v/>
      </c>
      <c r="M558" s="124" t="s">
        <v>65</v>
      </c>
      <c r="V558" s="117" t="str">
        <f t="shared" si="74"/>
        <v xml:space="preserve">   </v>
      </c>
    </row>
    <row r="559" spans="5:22">
      <c r="E559" s="118" t="s">
        <v>64</v>
      </c>
      <c r="F559" s="113" t="str">
        <f t="shared" si="68"/>
        <v>-</v>
      </c>
      <c r="G559" s="114" t="str">
        <f t="shared" si="69"/>
        <v/>
      </c>
      <c r="H559" s="114" t="str">
        <f t="shared" si="70"/>
        <v/>
      </c>
      <c r="I559" s="111" t="s">
        <v>65</v>
      </c>
      <c r="J559" s="113" t="str">
        <f t="shared" si="71"/>
        <v>-</v>
      </c>
      <c r="K559" s="113" t="str">
        <f t="shared" si="72"/>
        <v/>
      </c>
      <c r="L559" s="114" t="str">
        <f t="shared" si="73"/>
        <v/>
      </c>
      <c r="M559" s="124" t="s">
        <v>65</v>
      </c>
      <c r="V559" s="117" t="str">
        <f t="shared" si="74"/>
        <v xml:space="preserve">   </v>
      </c>
    </row>
    <row r="560" spans="5:22">
      <c r="E560" s="118" t="s">
        <v>64</v>
      </c>
      <c r="F560" s="113" t="str">
        <f t="shared" si="68"/>
        <v>-</v>
      </c>
      <c r="G560" s="114" t="str">
        <f t="shared" si="69"/>
        <v/>
      </c>
      <c r="H560" s="114" t="str">
        <f t="shared" si="70"/>
        <v/>
      </c>
      <c r="I560" s="111" t="s">
        <v>65</v>
      </c>
      <c r="J560" s="113" t="str">
        <f t="shared" si="71"/>
        <v>-</v>
      </c>
      <c r="K560" s="113" t="str">
        <f t="shared" si="72"/>
        <v/>
      </c>
      <c r="L560" s="114" t="str">
        <f t="shared" si="73"/>
        <v/>
      </c>
      <c r="M560" s="124" t="s">
        <v>65</v>
      </c>
      <c r="V560" s="117" t="str">
        <f t="shared" si="74"/>
        <v xml:space="preserve">   </v>
      </c>
    </row>
    <row r="561" spans="5:22">
      <c r="E561" s="118" t="s">
        <v>64</v>
      </c>
      <c r="F561" s="113" t="str">
        <f t="shared" si="68"/>
        <v>-</v>
      </c>
      <c r="G561" s="114" t="str">
        <f t="shared" si="69"/>
        <v/>
      </c>
      <c r="H561" s="114" t="str">
        <f t="shared" si="70"/>
        <v/>
      </c>
      <c r="I561" s="111" t="s">
        <v>65</v>
      </c>
      <c r="J561" s="113" t="str">
        <f t="shared" si="71"/>
        <v>-</v>
      </c>
      <c r="K561" s="113" t="str">
        <f t="shared" si="72"/>
        <v/>
      </c>
      <c r="L561" s="114" t="str">
        <f t="shared" si="73"/>
        <v/>
      </c>
      <c r="M561" s="124" t="s">
        <v>65</v>
      </c>
      <c r="V561" s="117" t="str">
        <f t="shared" si="74"/>
        <v xml:space="preserve">   </v>
      </c>
    </row>
    <row r="562" spans="5:22">
      <c r="E562" s="118" t="s">
        <v>64</v>
      </c>
      <c r="F562" s="113" t="str">
        <f t="shared" si="68"/>
        <v>-</v>
      </c>
      <c r="G562" s="114" t="str">
        <f t="shared" si="69"/>
        <v/>
      </c>
      <c r="H562" s="114" t="str">
        <f t="shared" si="70"/>
        <v/>
      </c>
      <c r="I562" s="111" t="s">
        <v>65</v>
      </c>
      <c r="J562" s="113" t="str">
        <f t="shared" si="71"/>
        <v>-</v>
      </c>
      <c r="K562" s="113" t="str">
        <f t="shared" si="72"/>
        <v/>
      </c>
      <c r="L562" s="114" t="str">
        <f t="shared" si="73"/>
        <v/>
      </c>
      <c r="M562" s="124" t="s">
        <v>65</v>
      </c>
      <c r="V562" s="117" t="str">
        <f t="shared" si="74"/>
        <v xml:space="preserve">   </v>
      </c>
    </row>
    <row r="563" spans="5:22">
      <c r="E563" s="118" t="s">
        <v>64</v>
      </c>
      <c r="F563" s="113" t="str">
        <f t="shared" si="68"/>
        <v>-</v>
      </c>
      <c r="G563" s="114" t="str">
        <f t="shared" si="69"/>
        <v/>
      </c>
      <c r="H563" s="114" t="str">
        <f t="shared" si="70"/>
        <v/>
      </c>
      <c r="I563" s="111" t="s">
        <v>65</v>
      </c>
      <c r="J563" s="113" t="str">
        <f t="shared" si="71"/>
        <v>-</v>
      </c>
      <c r="K563" s="113" t="str">
        <f t="shared" si="72"/>
        <v/>
      </c>
      <c r="L563" s="114" t="str">
        <f t="shared" si="73"/>
        <v/>
      </c>
      <c r="M563" s="124" t="s">
        <v>65</v>
      </c>
      <c r="V563" s="117" t="str">
        <f t="shared" si="74"/>
        <v xml:space="preserve">   </v>
      </c>
    </row>
    <row r="564" spans="5:22">
      <c r="E564" s="118" t="s">
        <v>64</v>
      </c>
      <c r="F564" s="113" t="str">
        <f t="shared" si="68"/>
        <v>-</v>
      </c>
      <c r="G564" s="114" t="str">
        <f t="shared" si="69"/>
        <v/>
      </c>
      <c r="H564" s="114" t="str">
        <f t="shared" si="70"/>
        <v/>
      </c>
      <c r="I564" s="111" t="s">
        <v>65</v>
      </c>
      <c r="J564" s="113" t="str">
        <f t="shared" si="71"/>
        <v>-</v>
      </c>
      <c r="K564" s="113" t="str">
        <f t="shared" si="72"/>
        <v/>
      </c>
      <c r="L564" s="114" t="str">
        <f t="shared" si="73"/>
        <v/>
      </c>
      <c r="M564" s="124" t="s">
        <v>65</v>
      </c>
      <c r="V564" s="117" t="str">
        <f t="shared" si="74"/>
        <v xml:space="preserve">   </v>
      </c>
    </row>
    <row r="565" spans="5:22">
      <c r="E565" s="118" t="s">
        <v>64</v>
      </c>
      <c r="F565" s="113" t="str">
        <f t="shared" ref="F565:F628" si="75">IFERROR(INDEX(A565,MATCH(E565&amp;"*",A565,)),"-")</f>
        <v>-</v>
      </c>
      <c r="G565" s="114" t="str">
        <f t="shared" ref="G565:G628" si="76">IF(F565="-","",LEFT(F565,6))</f>
        <v/>
      </c>
      <c r="H565" s="114" t="str">
        <f t="shared" ref="H565:H628" si="77">MID(F565,8,50)</f>
        <v/>
      </c>
      <c r="I565" s="111" t="s">
        <v>65</v>
      </c>
      <c r="J565" s="113" t="str">
        <f t="shared" ref="J565:J628" si="78">IF(F565="-","-",LEFT(F565,6))</f>
        <v>-</v>
      </c>
      <c r="K565" s="113" t="str">
        <f t="shared" ref="K565:K628" si="79">I565</f>
        <v/>
      </c>
      <c r="L565" s="114" t="str">
        <f t="shared" ref="L565:L628" si="80">IF(F565="-","",B565)</f>
        <v/>
      </c>
      <c r="M565" s="124" t="s">
        <v>65</v>
      </c>
      <c r="V565" s="117" t="str">
        <f t="shared" si="74"/>
        <v xml:space="preserve">   </v>
      </c>
    </row>
    <row r="566" spans="5:22">
      <c r="E566" s="118" t="s">
        <v>64</v>
      </c>
      <c r="F566" s="113" t="str">
        <f t="shared" si="75"/>
        <v>-</v>
      </c>
      <c r="G566" s="114" t="str">
        <f t="shared" si="76"/>
        <v/>
      </c>
      <c r="H566" s="114" t="str">
        <f t="shared" si="77"/>
        <v/>
      </c>
      <c r="I566" s="111" t="s">
        <v>65</v>
      </c>
      <c r="J566" s="113" t="str">
        <f t="shared" si="78"/>
        <v>-</v>
      </c>
      <c r="K566" s="113" t="str">
        <f t="shared" si="79"/>
        <v/>
      </c>
      <c r="L566" s="114" t="str">
        <f t="shared" si="80"/>
        <v/>
      </c>
      <c r="M566" s="124" t="s">
        <v>65</v>
      </c>
      <c r="V566" s="117" t="str">
        <f t="shared" si="74"/>
        <v xml:space="preserve">   </v>
      </c>
    </row>
    <row r="567" spans="5:22">
      <c r="E567" s="118" t="s">
        <v>64</v>
      </c>
      <c r="F567" s="113" t="str">
        <f t="shared" si="75"/>
        <v>-</v>
      </c>
      <c r="G567" s="114" t="str">
        <f t="shared" si="76"/>
        <v/>
      </c>
      <c r="H567" s="114" t="str">
        <f t="shared" si="77"/>
        <v/>
      </c>
      <c r="I567" s="111" t="s">
        <v>65</v>
      </c>
      <c r="J567" s="113" t="str">
        <f t="shared" si="78"/>
        <v>-</v>
      </c>
      <c r="K567" s="113" t="str">
        <f t="shared" si="79"/>
        <v/>
      </c>
      <c r="L567" s="114" t="str">
        <f t="shared" si="80"/>
        <v/>
      </c>
      <c r="M567" s="124" t="s">
        <v>65</v>
      </c>
      <c r="V567" s="117" t="str">
        <f t="shared" si="74"/>
        <v xml:space="preserve">   </v>
      </c>
    </row>
    <row r="568" spans="5:22">
      <c r="E568" s="118" t="s">
        <v>64</v>
      </c>
      <c r="F568" s="113" t="str">
        <f t="shared" si="75"/>
        <v>-</v>
      </c>
      <c r="G568" s="114" t="str">
        <f t="shared" si="76"/>
        <v/>
      </c>
      <c r="H568" s="114" t="str">
        <f t="shared" si="77"/>
        <v/>
      </c>
      <c r="I568" s="111" t="s">
        <v>65</v>
      </c>
      <c r="J568" s="113" t="str">
        <f t="shared" si="78"/>
        <v>-</v>
      </c>
      <c r="K568" s="113" t="str">
        <f t="shared" si="79"/>
        <v/>
      </c>
      <c r="L568" s="114" t="str">
        <f t="shared" si="80"/>
        <v/>
      </c>
      <c r="M568" s="124" t="s">
        <v>65</v>
      </c>
      <c r="V568" s="117" t="str">
        <f t="shared" si="74"/>
        <v xml:space="preserve">   </v>
      </c>
    </row>
    <row r="569" spans="5:22">
      <c r="E569" s="118" t="s">
        <v>64</v>
      </c>
      <c r="F569" s="113" t="str">
        <f t="shared" si="75"/>
        <v>-</v>
      </c>
      <c r="G569" s="114" t="str">
        <f t="shared" si="76"/>
        <v/>
      </c>
      <c r="H569" s="114" t="str">
        <f t="shared" si="77"/>
        <v/>
      </c>
      <c r="I569" s="111" t="s">
        <v>65</v>
      </c>
      <c r="J569" s="113" t="str">
        <f t="shared" si="78"/>
        <v>-</v>
      </c>
      <c r="K569" s="113" t="str">
        <f t="shared" si="79"/>
        <v/>
      </c>
      <c r="L569" s="114" t="str">
        <f t="shared" si="80"/>
        <v/>
      </c>
      <c r="M569" s="124" t="s">
        <v>65</v>
      </c>
      <c r="V569" s="117" t="str">
        <f t="shared" si="74"/>
        <v xml:space="preserve">   </v>
      </c>
    </row>
    <row r="570" spans="5:22">
      <c r="E570" s="118" t="s">
        <v>64</v>
      </c>
      <c r="F570" s="113" t="str">
        <f t="shared" si="75"/>
        <v>-</v>
      </c>
      <c r="G570" s="114" t="str">
        <f t="shared" si="76"/>
        <v/>
      </c>
      <c r="H570" s="114" t="str">
        <f t="shared" si="77"/>
        <v/>
      </c>
      <c r="I570" s="111" t="s">
        <v>65</v>
      </c>
      <c r="J570" s="113" t="str">
        <f t="shared" si="78"/>
        <v>-</v>
      </c>
      <c r="K570" s="113" t="str">
        <f t="shared" si="79"/>
        <v/>
      </c>
      <c r="L570" s="114" t="str">
        <f t="shared" si="80"/>
        <v/>
      </c>
      <c r="M570" s="124" t="s">
        <v>65</v>
      </c>
      <c r="V570" s="117" t="str">
        <f t="shared" si="74"/>
        <v xml:space="preserve">   </v>
      </c>
    </row>
    <row r="571" spans="5:22">
      <c r="E571" s="118" t="s">
        <v>64</v>
      </c>
      <c r="F571" s="113" t="str">
        <f t="shared" si="75"/>
        <v>-</v>
      </c>
      <c r="G571" s="114" t="str">
        <f t="shared" si="76"/>
        <v/>
      </c>
      <c r="H571" s="114" t="str">
        <f t="shared" si="77"/>
        <v/>
      </c>
      <c r="I571" s="111" t="s">
        <v>65</v>
      </c>
      <c r="J571" s="113" t="str">
        <f t="shared" si="78"/>
        <v>-</v>
      </c>
      <c r="K571" s="113" t="str">
        <f t="shared" si="79"/>
        <v/>
      </c>
      <c r="L571" s="114" t="str">
        <f t="shared" si="80"/>
        <v/>
      </c>
      <c r="M571" s="124" t="s">
        <v>65</v>
      </c>
      <c r="V571" s="117" t="str">
        <f t="shared" si="74"/>
        <v xml:space="preserve">   </v>
      </c>
    </row>
    <row r="572" spans="5:22">
      <c r="E572" s="118" t="s">
        <v>64</v>
      </c>
      <c r="F572" s="113" t="str">
        <f t="shared" si="75"/>
        <v>-</v>
      </c>
      <c r="G572" s="114" t="str">
        <f t="shared" si="76"/>
        <v/>
      </c>
      <c r="H572" s="114" t="str">
        <f t="shared" si="77"/>
        <v/>
      </c>
      <c r="I572" s="111" t="s">
        <v>65</v>
      </c>
      <c r="J572" s="113" t="str">
        <f t="shared" si="78"/>
        <v>-</v>
      </c>
      <c r="K572" s="113" t="str">
        <f t="shared" si="79"/>
        <v/>
      </c>
      <c r="L572" s="114" t="str">
        <f t="shared" si="80"/>
        <v/>
      </c>
      <c r="M572" s="124" t="s">
        <v>65</v>
      </c>
      <c r="V572" s="117" t="str">
        <f t="shared" si="74"/>
        <v xml:space="preserve">   </v>
      </c>
    </row>
    <row r="573" spans="5:22">
      <c r="E573" s="118" t="s">
        <v>64</v>
      </c>
      <c r="F573" s="113" t="str">
        <f t="shared" si="75"/>
        <v>-</v>
      </c>
      <c r="G573" s="114" t="str">
        <f t="shared" si="76"/>
        <v/>
      </c>
      <c r="H573" s="114" t="str">
        <f t="shared" si="77"/>
        <v/>
      </c>
      <c r="I573" s="111" t="s">
        <v>65</v>
      </c>
      <c r="J573" s="113" t="str">
        <f t="shared" si="78"/>
        <v>-</v>
      </c>
      <c r="K573" s="113" t="str">
        <f t="shared" si="79"/>
        <v/>
      </c>
      <c r="L573" s="114" t="str">
        <f t="shared" si="80"/>
        <v/>
      </c>
      <c r="M573" s="124" t="s">
        <v>65</v>
      </c>
      <c r="V573" s="117" t="str">
        <f t="shared" si="74"/>
        <v xml:space="preserve">   </v>
      </c>
    </row>
    <row r="574" spans="5:22">
      <c r="E574" s="118" t="s">
        <v>64</v>
      </c>
      <c r="F574" s="113" t="str">
        <f t="shared" si="75"/>
        <v>-</v>
      </c>
      <c r="G574" s="114" t="str">
        <f t="shared" si="76"/>
        <v/>
      </c>
      <c r="H574" s="114" t="str">
        <f t="shared" si="77"/>
        <v/>
      </c>
      <c r="I574" s="111" t="s">
        <v>65</v>
      </c>
      <c r="J574" s="113" t="str">
        <f t="shared" si="78"/>
        <v>-</v>
      </c>
      <c r="K574" s="113" t="str">
        <f t="shared" si="79"/>
        <v/>
      </c>
      <c r="L574" s="114" t="str">
        <f t="shared" si="80"/>
        <v/>
      </c>
      <c r="M574" s="124" t="s">
        <v>65</v>
      </c>
      <c r="V574" s="117" t="str">
        <f t="shared" si="74"/>
        <v xml:space="preserve">   </v>
      </c>
    </row>
    <row r="575" spans="5:22">
      <c r="E575" s="118" t="s">
        <v>64</v>
      </c>
      <c r="F575" s="113" t="str">
        <f t="shared" si="75"/>
        <v>-</v>
      </c>
      <c r="G575" s="114" t="str">
        <f t="shared" si="76"/>
        <v/>
      </c>
      <c r="H575" s="114" t="str">
        <f t="shared" si="77"/>
        <v/>
      </c>
      <c r="I575" s="111" t="s">
        <v>65</v>
      </c>
      <c r="J575" s="113" t="str">
        <f t="shared" si="78"/>
        <v>-</v>
      </c>
      <c r="K575" s="113" t="str">
        <f t="shared" si="79"/>
        <v/>
      </c>
      <c r="L575" s="114" t="str">
        <f t="shared" si="80"/>
        <v/>
      </c>
      <c r="M575" s="124" t="s">
        <v>65</v>
      </c>
      <c r="V575" s="117" t="str">
        <f t="shared" si="74"/>
        <v xml:space="preserve">   </v>
      </c>
    </row>
    <row r="576" spans="5:22">
      <c r="E576" s="118" t="s">
        <v>64</v>
      </c>
      <c r="F576" s="113" t="str">
        <f t="shared" si="75"/>
        <v>-</v>
      </c>
      <c r="G576" s="114" t="str">
        <f t="shared" si="76"/>
        <v/>
      </c>
      <c r="H576" s="114" t="str">
        <f t="shared" si="77"/>
        <v/>
      </c>
      <c r="I576" s="111" t="s">
        <v>65</v>
      </c>
      <c r="J576" s="113" t="str">
        <f t="shared" si="78"/>
        <v>-</v>
      </c>
      <c r="K576" s="113" t="str">
        <f t="shared" si="79"/>
        <v/>
      </c>
      <c r="L576" s="114" t="str">
        <f t="shared" si="80"/>
        <v/>
      </c>
      <c r="M576" s="124" t="s">
        <v>65</v>
      </c>
      <c r="V576" s="117" t="str">
        <f t="shared" si="74"/>
        <v xml:space="preserve">   </v>
      </c>
    </row>
    <row r="577" spans="5:22">
      <c r="E577" s="118" t="s">
        <v>64</v>
      </c>
      <c r="F577" s="113" t="str">
        <f t="shared" si="75"/>
        <v>-</v>
      </c>
      <c r="G577" s="114" t="str">
        <f t="shared" si="76"/>
        <v/>
      </c>
      <c r="H577" s="114" t="str">
        <f t="shared" si="77"/>
        <v/>
      </c>
      <c r="I577" s="111" t="s">
        <v>65</v>
      </c>
      <c r="J577" s="113" t="str">
        <f t="shared" si="78"/>
        <v>-</v>
      </c>
      <c r="K577" s="113" t="str">
        <f t="shared" si="79"/>
        <v/>
      </c>
      <c r="L577" s="114" t="str">
        <f t="shared" si="80"/>
        <v/>
      </c>
      <c r="M577" s="124" t="s">
        <v>65</v>
      </c>
      <c r="V577" s="117" t="str">
        <f t="shared" si="74"/>
        <v xml:space="preserve">   </v>
      </c>
    </row>
    <row r="578" spans="5:22">
      <c r="E578" s="118" t="s">
        <v>64</v>
      </c>
      <c r="F578" s="113" t="str">
        <f t="shared" si="75"/>
        <v>-</v>
      </c>
      <c r="G578" s="114" t="str">
        <f t="shared" si="76"/>
        <v/>
      </c>
      <c r="H578" s="114" t="str">
        <f t="shared" si="77"/>
        <v/>
      </c>
      <c r="I578" s="111" t="s">
        <v>65</v>
      </c>
      <c r="J578" s="113" t="str">
        <f t="shared" si="78"/>
        <v>-</v>
      </c>
      <c r="K578" s="113" t="str">
        <f t="shared" si="79"/>
        <v/>
      </c>
      <c r="L578" s="114" t="str">
        <f t="shared" si="80"/>
        <v/>
      </c>
      <c r="M578" s="124" t="s">
        <v>65</v>
      </c>
      <c r="V578" s="117" t="str">
        <f t="shared" si="74"/>
        <v xml:space="preserve">   </v>
      </c>
    </row>
    <row r="579" spans="5:22">
      <c r="E579" s="118" t="s">
        <v>64</v>
      </c>
      <c r="F579" s="113" t="str">
        <f t="shared" si="75"/>
        <v>-</v>
      </c>
      <c r="G579" s="114" t="str">
        <f t="shared" si="76"/>
        <v/>
      </c>
      <c r="H579" s="114" t="str">
        <f t="shared" si="77"/>
        <v/>
      </c>
      <c r="I579" s="111" t="s">
        <v>65</v>
      </c>
      <c r="J579" s="113" t="str">
        <f t="shared" si="78"/>
        <v>-</v>
      </c>
      <c r="K579" s="113" t="str">
        <f t="shared" si="79"/>
        <v/>
      </c>
      <c r="L579" s="114" t="str">
        <f t="shared" si="80"/>
        <v/>
      </c>
      <c r="M579" s="124" t="s">
        <v>65</v>
      </c>
      <c r="V579" s="117" t="str">
        <f t="shared" si="74"/>
        <v xml:space="preserve">   </v>
      </c>
    </row>
    <row r="580" spans="5:22">
      <c r="E580" s="118" t="s">
        <v>64</v>
      </c>
      <c r="F580" s="113" t="str">
        <f t="shared" si="75"/>
        <v>-</v>
      </c>
      <c r="G580" s="114" t="str">
        <f t="shared" si="76"/>
        <v/>
      </c>
      <c r="H580" s="114" t="str">
        <f t="shared" si="77"/>
        <v/>
      </c>
      <c r="I580" s="111" t="s">
        <v>65</v>
      </c>
      <c r="J580" s="113" t="str">
        <f t="shared" si="78"/>
        <v>-</v>
      </c>
      <c r="K580" s="113" t="str">
        <f t="shared" si="79"/>
        <v/>
      </c>
      <c r="L580" s="114" t="str">
        <f t="shared" si="80"/>
        <v/>
      </c>
      <c r="M580" s="124" t="s">
        <v>65</v>
      </c>
      <c r="V580" s="117" t="str">
        <f t="shared" si="74"/>
        <v xml:space="preserve">   </v>
      </c>
    </row>
    <row r="581" spans="5:22">
      <c r="E581" s="118" t="s">
        <v>64</v>
      </c>
      <c r="F581" s="113" t="str">
        <f t="shared" si="75"/>
        <v>-</v>
      </c>
      <c r="G581" s="114" t="str">
        <f t="shared" si="76"/>
        <v/>
      </c>
      <c r="H581" s="114" t="str">
        <f t="shared" si="77"/>
        <v/>
      </c>
      <c r="I581" s="111" t="s">
        <v>65</v>
      </c>
      <c r="J581" s="113" t="str">
        <f t="shared" si="78"/>
        <v>-</v>
      </c>
      <c r="K581" s="113" t="str">
        <f t="shared" si="79"/>
        <v/>
      </c>
      <c r="L581" s="114" t="str">
        <f t="shared" si="80"/>
        <v/>
      </c>
      <c r="M581" s="124" t="s">
        <v>65</v>
      </c>
      <c r="V581" s="117" t="str">
        <f t="shared" si="74"/>
        <v xml:space="preserve">   </v>
      </c>
    </row>
    <row r="582" spans="5:22">
      <c r="E582" s="118" t="s">
        <v>64</v>
      </c>
      <c r="F582" s="113" t="str">
        <f t="shared" si="75"/>
        <v>-</v>
      </c>
      <c r="G582" s="114" t="str">
        <f t="shared" si="76"/>
        <v/>
      </c>
      <c r="H582" s="114" t="str">
        <f t="shared" si="77"/>
        <v/>
      </c>
      <c r="I582" s="111" t="s">
        <v>65</v>
      </c>
      <c r="J582" s="113" t="str">
        <f t="shared" si="78"/>
        <v>-</v>
      </c>
      <c r="K582" s="113" t="str">
        <f t="shared" si="79"/>
        <v/>
      </c>
      <c r="L582" s="114" t="str">
        <f t="shared" si="80"/>
        <v/>
      </c>
      <c r="M582" s="124" t="s">
        <v>65</v>
      </c>
      <c r="V582" s="117" t="str">
        <f t="shared" ref="V582:V645" si="81">CONCATENATE(A582," ",B582," ",C582," ",D582)</f>
        <v xml:space="preserve">   </v>
      </c>
    </row>
    <row r="583" spans="5:22">
      <c r="E583" s="118" t="s">
        <v>64</v>
      </c>
      <c r="F583" s="113" t="str">
        <f t="shared" si="75"/>
        <v>-</v>
      </c>
      <c r="G583" s="114" t="str">
        <f t="shared" si="76"/>
        <v/>
      </c>
      <c r="H583" s="114" t="str">
        <f t="shared" si="77"/>
        <v/>
      </c>
      <c r="I583" s="111" t="s">
        <v>65</v>
      </c>
      <c r="J583" s="113" t="str">
        <f t="shared" si="78"/>
        <v>-</v>
      </c>
      <c r="K583" s="113" t="str">
        <f t="shared" si="79"/>
        <v/>
      </c>
      <c r="L583" s="114" t="str">
        <f t="shared" si="80"/>
        <v/>
      </c>
      <c r="M583" s="124" t="s">
        <v>65</v>
      </c>
      <c r="V583" s="117" t="str">
        <f t="shared" si="81"/>
        <v xml:space="preserve">   </v>
      </c>
    </row>
    <row r="584" spans="5:22">
      <c r="E584" s="118" t="s">
        <v>64</v>
      </c>
      <c r="F584" s="113" t="str">
        <f t="shared" si="75"/>
        <v>-</v>
      </c>
      <c r="G584" s="114" t="str">
        <f t="shared" si="76"/>
        <v/>
      </c>
      <c r="H584" s="114" t="str">
        <f t="shared" si="77"/>
        <v/>
      </c>
      <c r="I584" s="111" t="s">
        <v>65</v>
      </c>
      <c r="J584" s="113" t="str">
        <f t="shared" si="78"/>
        <v>-</v>
      </c>
      <c r="K584" s="113" t="str">
        <f t="shared" si="79"/>
        <v/>
      </c>
      <c r="L584" s="114" t="str">
        <f t="shared" si="80"/>
        <v/>
      </c>
      <c r="M584" s="124" t="s">
        <v>65</v>
      </c>
      <c r="V584" s="117" t="str">
        <f t="shared" si="81"/>
        <v xml:space="preserve">   </v>
      </c>
    </row>
    <row r="585" spans="5:22">
      <c r="E585" s="118" t="s">
        <v>64</v>
      </c>
      <c r="F585" s="113" t="str">
        <f t="shared" si="75"/>
        <v>-</v>
      </c>
      <c r="G585" s="114" t="str">
        <f t="shared" si="76"/>
        <v/>
      </c>
      <c r="H585" s="114" t="str">
        <f t="shared" si="77"/>
        <v/>
      </c>
      <c r="I585" s="111" t="s">
        <v>65</v>
      </c>
      <c r="J585" s="113" t="str">
        <f t="shared" si="78"/>
        <v>-</v>
      </c>
      <c r="K585" s="113" t="str">
        <f t="shared" si="79"/>
        <v/>
      </c>
      <c r="L585" s="114" t="str">
        <f t="shared" si="80"/>
        <v/>
      </c>
      <c r="M585" s="124" t="s">
        <v>65</v>
      </c>
      <c r="V585" s="117" t="str">
        <f t="shared" si="81"/>
        <v xml:space="preserve">   </v>
      </c>
    </row>
    <row r="586" spans="5:22">
      <c r="E586" s="118" t="s">
        <v>64</v>
      </c>
      <c r="F586" s="113" t="str">
        <f t="shared" si="75"/>
        <v>-</v>
      </c>
      <c r="G586" s="114" t="str">
        <f t="shared" si="76"/>
        <v/>
      </c>
      <c r="H586" s="114" t="str">
        <f t="shared" si="77"/>
        <v/>
      </c>
      <c r="I586" s="111" t="s">
        <v>65</v>
      </c>
      <c r="J586" s="113" t="str">
        <f t="shared" si="78"/>
        <v>-</v>
      </c>
      <c r="K586" s="113" t="str">
        <f t="shared" si="79"/>
        <v/>
      </c>
      <c r="L586" s="114" t="str">
        <f t="shared" si="80"/>
        <v/>
      </c>
      <c r="M586" s="124" t="s">
        <v>65</v>
      </c>
      <c r="V586" s="117" t="str">
        <f t="shared" si="81"/>
        <v xml:space="preserve">   </v>
      </c>
    </row>
    <row r="587" spans="5:22">
      <c r="E587" s="118" t="s">
        <v>64</v>
      </c>
      <c r="F587" s="113" t="str">
        <f t="shared" si="75"/>
        <v>-</v>
      </c>
      <c r="G587" s="114" t="str">
        <f t="shared" si="76"/>
        <v/>
      </c>
      <c r="H587" s="114" t="str">
        <f t="shared" si="77"/>
        <v/>
      </c>
      <c r="I587" s="111" t="s">
        <v>65</v>
      </c>
      <c r="J587" s="113" t="str">
        <f t="shared" si="78"/>
        <v>-</v>
      </c>
      <c r="K587" s="113" t="str">
        <f t="shared" si="79"/>
        <v/>
      </c>
      <c r="L587" s="114" t="str">
        <f t="shared" si="80"/>
        <v/>
      </c>
      <c r="M587" s="124" t="s">
        <v>65</v>
      </c>
      <c r="V587" s="117" t="str">
        <f t="shared" si="81"/>
        <v xml:space="preserve">   </v>
      </c>
    </row>
    <row r="588" spans="5:22">
      <c r="E588" s="118" t="s">
        <v>64</v>
      </c>
      <c r="F588" s="113" t="str">
        <f t="shared" si="75"/>
        <v>-</v>
      </c>
      <c r="G588" s="114" t="str">
        <f t="shared" si="76"/>
        <v/>
      </c>
      <c r="H588" s="114" t="str">
        <f t="shared" si="77"/>
        <v/>
      </c>
      <c r="I588" s="111" t="s">
        <v>65</v>
      </c>
      <c r="J588" s="113" t="str">
        <f t="shared" si="78"/>
        <v>-</v>
      </c>
      <c r="K588" s="113" t="str">
        <f t="shared" si="79"/>
        <v/>
      </c>
      <c r="L588" s="114" t="str">
        <f t="shared" si="80"/>
        <v/>
      </c>
      <c r="M588" s="124" t="s">
        <v>65</v>
      </c>
      <c r="V588" s="117" t="str">
        <f t="shared" si="81"/>
        <v xml:space="preserve">   </v>
      </c>
    </row>
    <row r="589" spans="5:22">
      <c r="E589" s="118" t="s">
        <v>64</v>
      </c>
      <c r="F589" s="113" t="str">
        <f t="shared" si="75"/>
        <v>-</v>
      </c>
      <c r="G589" s="114" t="str">
        <f t="shared" si="76"/>
        <v/>
      </c>
      <c r="H589" s="114" t="str">
        <f t="shared" si="77"/>
        <v/>
      </c>
      <c r="I589" s="111" t="s">
        <v>65</v>
      </c>
      <c r="J589" s="113" t="str">
        <f t="shared" si="78"/>
        <v>-</v>
      </c>
      <c r="K589" s="113" t="str">
        <f t="shared" si="79"/>
        <v/>
      </c>
      <c r="L589" s="114" t="str">
        <f t="shared" si="80"/>
        <v/>
      </c>
      <c r="M589" s="124" t="s">
        <v>65</v>
      </c>
      <c r="V589" s="117" t="str">
        <f t="shared" si="81"/>
        <v xml:space="preserve">   </v>
      </c>
    </row>
    <row r="590" spans="5:22">
      <c r="E590" s="118" t="s">
        <v>64</v>
      </c>
      <c r="F590" s="113" t="str">
        <f t="shared" si="75"/>
        <v>-</v>
      </c>
      <c r="G590" s="114" t="str">
        <f t="shared" si="76"/>
        <v/>
      </c>
      <c r="H590" s="114" t="str">
        <f t="shared" si="77"/>
        <v/>
      </c>
      <c r="I590" s="111" t="s">
        <v>65</v>
      </c>
      <c r="J590" s="113" t="str">
        <f t="shared" si="78"/>
        <v>-</v>
      </c>
      <c r="K590" s="113" t="str">
        <f t="shared" si="79"/>
        <v/>
      </c>
      <c r="L590" s="114" t="str">
        <f t="shared" si="80"/>
        <v/>
      </c>
      <c r="M590" s="124" t="s">
        <v>65</v>
      </c>
      <c r="V590" s="117" t="str">
        <f t="shared" si="81"/>
        <v xml:space="preserve">   </v>
      </c>
    </row>
    <row r="591" spans="5:22">
      <c r="E591" s="118" t="s">
        <v>64</v>
      </c>
      <c r="F591" s="113" t="str">
        <f t="shared" si="75"/>
        <v>-</v>
      </c>
      <c r="G591" s="114" t="str">
        <f t="shared" si="76"/>
        <v/>
      </c>
      <c r="H591" s="114" t="str">
        <f t="shared" si="77"/>
        <v/>
      </c>
      <c r="I591" s="111" t="s">
        <v>65</v>
      </c>
      <c r="J591" s="113" t="str">
        <f t="shared" si="78"/>
        <v>-</v>
      </c>
      <c r="K591" s="113" t="str">
        <f t="shared" si="79"/>
        <v/>
      </c>
      <c r="L591" s="114" t="str">
        <f t="shared" si="80"/>
        <v/>
      </c>
      <c r="M591" s="124" t="s">
        <v>65</v>
      </c>
      <c r="V591" s="117" t="str">
        <f t="shared" si="81"/>
        <v xml:space="preserve">   </v>
      </c>
    </row>
    <row r="592" spans="5:22">
      <c r="E592" s="118" t="s">
        <v>64</v>
      </c>
      <c r="F592" s="113" t="str">
        <f t="shared" si="75"/>
        <v>-</v>
      </c>
      <c r="G592" s="114" t="str">
        <f t="shared" si="76"/>
        <v/>
      </c>
      <c r="H592" s="114" t="str">
        <f t="shared" si="77"/>
        <v/>
      </c>
      <c r="I592" s="111" t="s">
        <v>65</v>
      </c>
      <c r="J592" s="113" t="str">
        <f t="shared" si="78"/>
        <v>-</v>
      </c>
      <c r="K592" s="113" t="str">
        <f t="shared" si="79"/>
        <v/>
      </c>
      <c r="L592" s="114" t="str">
        <f t="shared" si="80"/>
        <v/>
      </c>
      <c r="M592" s="124" t="s">
        <v>65</v>
      </c>
      <c r="V592" s="117" t="str">
        <f t="shared" si="81"/>
        <v xml:space="preserve">   </v>
      </c>
    </row>
    <row r="593" spans="5:22">
      <c r="E593" s="118" t="s">
        <v>64</v>
      </c>
      <c r="F593" s="113" t="str">
        <f t="shared" si="75"/>
        <v>-</v>
      </c>
      <c r="G593" s="114" t="str">
        <f t="shared" si="76"/>
        <v/>
      </c>
      <c r="H593" s="114" t="str">
        <f t="shared" si="77"/>
        <v/>
      </c>
      <c r="I593" s="111" t="s">
        <v>65</v>
      </c>
      <c r="J593" s="113" t="str">
        <f t="shared" si="78"/>
        <v>-</v>
      </c>
      <c r="K593" s="113" t="str">
        <f t="shared" si="79"/>
        <v/>
      </c>
      <c r="L593" s="114" t="str">
        <f t="shared" si="80"/>
        <v/>
      </c>
      <c r="M593" s="124" t="s">
        <v>65</v>
      </c>
      <c r="V593" s="117" t="str">
        <f t="shared" si="81"/>
        <v xml:space="preserve">   </v>
      </c>
    </row>
    <row r="594" spans="5:22">
      <c r="E594" s="118" t="s">
        <v>64</v>
      </c>
      <c r="F594" s="113" t="str">
        <f t="shared" si="75"/>
        <v>-</v>
      </c>
      <c r="G594" s="114" t="str">
        <f t="shared" si="76"/>
        <v/>
      </c>
      <c r="H594" s="114" t="str">
        <f t="shared" si="77"/>
        <v/>
      </c>
      <c r="I594" s="111" t="s">
        <v>65</v>
      </c>
      <c r="J594" s="113" t="str">
        <f t="shared" si="78"/>
        <v>-</v>
      </c>
      <c r="K594" s="113" t="str">
        <f t="shared" si="79"/>
        <v/>
      </c>
      <c r="L594" s="114" t="str">
        <f t="shared" si="80"/>
        <v/>
      </c>
      <c r="M594" s="124" t="s">
        <v>65</v>
      </c>
      <c r="V594" s="117" t="str">
        <f t="shared" si="81"/>
        <v xml:space="preserve">   </v>
      </c>
    </row>
    <row r="595" spans="5:22">
      <c r="E595" s="118" t="s">
        <v>64</v>
      </c>
      <c r="F595" s="113" t="str">
        <f t="shared" si="75"/>
        <v>-</v>
      </c>
      <c r="G595" s="114" t="str">
        <f t="shared" si="76"/>
        <v/>
      </c>
      <c r="H595" s="114" t="str">
        <f t="shared" si="77"/>
        <v/>
      </c>
      <c r="I595" s="111" t="s">
        <v>65</v>
      </c>
      <c r="J595" s="113" t="str">
        <f t="shared" si="78"/>
        <v>-</v>
      </c>
      <c r="K595" s="113" t="str">
        <f t="shared" si="79"/>
        <v/>
      </c>
      <c r="L595" s="114" t="str">
        <f t="shared" si="80"/>
        <v/>
      </c>
      <c r="M595" s="124" t="s">
        <v>65</v>
      </c>
      <c r="V595" s="117" t="str">
        <f t="shared" si="81"/>
        <v xml:space="preserve">   </v>
      </c>
    </row>
    <row r="596" spans="5:22">
      <c r="E596" s="118" t="s">
        <v>64</v>
      </c>
      <c r="F596" s="113" t="str">
        <f t="shared" si="75"/>
        <v>-</v>
      </c>
      <c r="G596" s="114" t="str">
        <f t="shared" si="76"/>
        <v/>
      </c>
      <c r="H596" s="114" t="str">
        <f t="shared" si="77"/>
        <v/>
      </c>
      <c r="I596" s="111" t="s">
        <v>65</v>
      </c>
      <c r="J596" s="113" t="str">
        <f t="shared" si="78"/>
        <v>-</v>
      </c>
      <c r="K596" s="113" t="str">
        <f t="shared" si="79"/>
        <v/>
      </c>
      <c r="L596" s="114" t="str">
        <f t="shared" si="80"/>
        <v/>
      </c>
      <c r="M596" s="124" t="s">
        <v>65</v>
      </c>
      <c r="V596" s="117" t="str">
        <f t="shared" si="81"/>
        <v xml:space="preserve">   </v>
      </c>
    </row>
    <row r="597" spans="5:22">
      <c r="E597" s="118" t="s">
        <v>64</v>
      </c>
      <c r="F597" s="113" t="str">
        <f t="shared" si="75"/>
        <v>-</v>
      </c>
      <c r="G597" s="114" t="str">
        <f t="shared" si="76"/>
        <v/>
      </c>
      <c r="H597" s="114" t="str">
        <f t="shared" si="77"/>
        <v/>
      </c>
      <c r="I597" s="111" t="s">
        <v>65</v>
      </c>
      <c r="J597" s="113" t="str">
        <f t="shared" si="78"/>
        <v>-</v>
      </c>
      <c r="K597" s="113" t="str">
        <f t="shared" si="79"/>
        <v/>
      </c>
      <c r="L597" s="114" t="str">
        <f t="shared" si="80"/>
        <v/>
      </c>
      <c r="M597" s="124" t="s">
        <v>65</v>
      </c>
      <c r="V597" s="117" t="str">
        <f t="shared" si="81"/>
        <v xml:space="preserve">   </v>
      </c>
    </row>
    <row r="598" spans="5:22">
      <c r="E598" s="118" t="s">
        <v>64</v>
      </c>
      <c r="F598" s="113" t="str">
        <f t="shared" si="75"/>
        <v>-</v>
      </c>
      <c r="G598" s="114" t="str">
        <f t="shared" si="76"/>
        <v/>
      </c>
      <c r="H598" s="114" t="str">
        <f t="shared" si="77"/>
        <v/>
      </c>
      <c r="I598" s="111" t="s">
        <v>65</v>
      </c>
      <c r="J598" s="113" t="str">
        <f t="shared" si="78"/>
        <v>-</v>
      </c>
      <c r="K598" s="113" t="str">
        <f t="shared" si="79"/>
        <v/>
      </c>
      <c r="L598" s="114" t="str">
        <f t="shared" si="80"/>
        <v/>
      </c>
      <c r="M598" s="124" t="s">
        <v>65</v>
      </c>
      <c r="V598" s="117" t="str">
        <f t="shared" si="81"/>
        <v xml:space="preserve">   </v>
      </c>
    </row>
    <row r="599" spans="5:22">
      <c r="E599" s="118" t="s">
        <v>64</v>
      </c>
      <c r="F599" s="113" t="str">
        <f t="shared" si="75"/>
        <v>-</v>
      </c>
      <c r="G599" s="114" t="str">
        <f t="shared" si="76"/>
        <v/>
      </c>
      <c r="H599" s="114" t="str">
        <f t="shared" si="77"/>
        <v/>
      </c>
      <c r="I599" s="111" t="s">
        <v>65</v>
      </c>
      <c r="J599" s="113" t="str">
        <f t="shared" si="78"/>
        <v>-</v>
      </c>
      <c r="K599" s="113" t="str">
        <f t="shared" si="79"/>
        <v/>
      </c>
      <c r="L599" s="114" t="str">
        <f t="shared" si="80"/>
        <v/>
      </c>
      <c r="M599" s="124" t="s">
        <v>65</v>
      </c>
      <c r="V599" s="117" t="str">
        <f t="shared" si="81"/>
        <v xml:space="preserve">   </v>
      </c>
    </row>
    <row r="600" spans="5:22">
      <c r="E600" s="118" t="s">
        <v>64</v>
      </c>
      <c r="F600" s="113" t="str">
        <f t="shared" si="75"/>
        <v>-</v>
      </c>
      <c r="G600" s="114" t="str">
        <f t="shared" si="76"/>
        <v/>
      </c>
      <c r="H600" s="114" t="str">
        <f t="shared" si="77"/>
        <v/>
      </c>
      <c r="I600" s="111" t="s">
        <v>65</v>
      </c>
      <c r="J600" s="113" t="str">
        <f t="shared" si="78"/>
        <v>-</v>
      </c>
      <c r="K600" s="113" t="str">
        <f t="shared" si="79"/>
        <v/>
      </c>
      <c r="L600" s="114" t="str">
        <f t="shared" si="80"/>
        <v/>
      </c>
      <c r="M600" s="124" t="s">
        <v>65</v>
      </c>
      <c r="V600" s="117" t="str">
        <f t="shared" si="81"/>
        <v xml:space="preserve">   </v>
      </c>
    </row>
    <row r="601" spans="5:22">
      <c r="E601" s="118" t="s">
        <v>64</v>
      </c>
      <c r="F601" s="113" t="str">
        <f t="shared" si="75"/>
        <v>-</v>
      </c>
      <c r="G601" s="114" t="str">
        <f t="shared" si="76"/>
        <v/>
      </c>
      <c r="H601" s="114" t="str">
        <f t="shared" si="77"/>
        <v/>
      </c>
      <c r="I601" s="111" t="s">
        <v>65</v>
      </c>
      <c r="J601" s="113" t="str">
        <f t="shared" si="78"/>
        <v>-</v>
      </c>
      <c r="K601" s="113" t="str">
        <f t="shared" si="79"/>
        <v/>
      </c>
      <c r="L601" s="114" t="str">
        <f t="shared" si="80"/>
        <v/>
      </c>
      <c r="M601" s="124" t="s">
        <v>65</v>
      </c>
      <c r="V601" s="117" t="str">
        <f t="shared" si="81"/>
        <v xml:space="preserve">   </v>
      </c>
    </row>
    <row r="602" spans="5:22">
      <c r="E602" s="118" t="s">
        <v>64</v>
      </c>
      <c r="F602" s="113" t="str">
        <f t="shared" si="75"/>
        <v>-</v>
      </c>
      <c r="G602" s="114" t="str">
        <f t="shared" si="76"/>
        <v/>
      </c>
      <c r="H602" s="114" t="str">
        <f t="shared" si="77"/>
        <v/>
      </c>
      <c r="I602" s="111" t="s">
        <v>65</v>
      </c>
      <c r="J602" s="113" t="str">
        <f t="shared" si="78"/>
        <v>-</v>
      </c>
      <c r="K602" s="113" t="str">
        <f t="shared" si="79"/>
        <v/>
      </c>
      <c r="L602" s="114" t="str">
        <f t="shared" si="80"/>
        <v/>
      </c>
      <c r="M602" s="124" t="s">
        <v>65</v>
      </c>
      <c r="V602" s="117" t="str">
        <f t="shared" si="81"/>
        <v xml:space="preserve">   </v>
      </c>
    </row>
    <row r="603" spans="5:22">
      <c r="E603" s="118" t="s">
        <v>64</v>
      </c>
      <c r="F603" s="113" t="str">
        <f t="shared" si="75"/>
        <v>-</v>
      </c>
      <c r="G603" s="114" t="str">
        <f t="shared" si="76"/>
        <v/>
      </c>
      <c r="H603" s="114" t="str">
        <f t="shared" si="77"/>
        <v/>
      </c>
      <c r="I603" s="111" t="s">
        <v>65</v>
      </c>
      <c r="J603" s="113" t="str">
        <f t="shared" si="78"/>
        <v>-</v>
      </c>
      <c r="K603" s="113" t="str">
        <f t="shared" si="79"/>
        <v/>
      </c>
      <c r="L603" s="114" t="str">
        <f t="shared" si="80"/>
        <v/>
      </c>
      <c r="M603" s="124" t="s">
        <v>65</v>
      </c>
      <c r="V603" s="117" t="str">
        <f t="shared" si="81"/>
        <v xml:space="preserve">   </v>
      </c>
    </row>
    <row r="604" spans="5:22">
      <c r="E604" s="118" t="s">
        <v>64</v>
      </c>
      <c r="F604" s="113" t="str">
        <f t="shared" si="75"/>
        <v>-</v>
      </c>
      <c r="G604" s="114" t="str">
        <f t="shared" si="76"/>
        <v/>
      </c>
      <c r="H604" s="114" t="str">
        <f t="shared" si="77"/>
        <v/>
      </c>
      <c r="I604" s="111" t="s">
        <v>65</v>
      </c>
      <c r="J604" s="113" t="str">
        <f t="shared" si="78"/>
        <v>-</v>
      </c>
      <c r="K604" s="113" t="str">
        <f t="shared" si="79"/>
        <v/>
      </c>
      <c r="L604" s="114" t="str">
        <f t="shared" si="80"/>
        <v/>
      </c>
      <c r="M604" s="124" t="s">
        <v>65</v>
      </c>
      <c r="V604" s="117" t="str">
        <f t="shared" si="81"/>
        <v xml:space="preserve">   </v>
      </c>
    </row>
    <row r="605" spans="5:22">
      <c r="E605" s="118" t="s">
        <v>64</v>
      </c>
      <c r="F605" s="113" t="str">
        <f t="shared" si="75"/>
        <v>-</v>
      </c>
      <c r="G605" s="114" t="str">
        <f t="shared" si="76"/>
        <v/>
      </c>
      <c r="H605" s="114" t="str">
        <f t="shared" si="77"/>
        <v/>
      </c>
      <c r="I605" s="111" t="s">
        <v>65</v>
      </c>
      <c r="J605" s="113" t="str">
        <f t="shared" si="78"/>
        <v>-</v>
      </c>
      <c r="K605" s="113" t="str">
        <f t="shared" si="79"/>
        <v/>
      </c>
      <c r="L605" s="114" t="str">
        <f t="shared" si="80"/>
        <v/>
      </c>
      <c r="M605" s="124" t="s">
        <v>65</v>
      </c>
      <c r="V605" s="117" t="str">
        <f t="shared" si="81"/>
        <v xml:space="preserve">   </v>
      </c>
    </row>
    <row r="606" spans="5:22">
      <c r="E606" s="118" t="s">
        <v>64</v>
      </c>
      <c r="F606" s="113" t="str">
        <f t="shared" si="75"/>
        <v>-</v>
      </c>
      <c r="G606" s="114" t="str">
        <f t="shared" si="76"/>
        <v/>
      </c>
      <c r="H606" s="114" t="str">
        <f t="shared" si="77"/>
        <v/>
      </c>
      <c r="I606" s="111" t="s">
        <v>65</v>
      </c>
      <c r="J606" s="113" t="str">
        <f t="shared" si="78"/>
        <v>-</v>
      </c>
      <c r="K606" s="113" t="str">
        <f t="shared" si="79"/>
        <v/>
      </c>
      <c r="L606" s="114" t="str">
        <f t="shared" si="80"/>
        <v/>
      </c>
      <c r="M606" s="124" t="s">
        <v>65</v>
      </c>
      <c r="V606" s="117" t="str">
        <f t="shared" si="81"/>
        <v xml:space="preserve">   </v>
      </c>
    </row>
    <row r="607" spans="5:22">
      <c r="E607" s="118" t="s">
        <v>64</v>
      </c>
      <c r="F607" s="113" t="str">
        <f t="shared" si="75"/>
        <v>-</v>
      </c>
      <c r="G607" s="114" t="str">
        <f t="shared" si="76"/>
        <v/>
      </c>
      <c r="H607" s="114" t="str">
        <f t="shared" si="77"/>
        <v/>
      </c>
      <c r="I607" s="111" t="s">
        <v>65</v>
      </c>
      <c r="J607" s="113" t="str">
        <f t="shared" si="78"/>
        <v>-</v>
      </c>
      <c r="K607" s="113" t="str">
        <f t="shared" si="79"/>
        <v/>
      </c>
      <c r="L607" s="114" t="str">
        <f t="shared" si="80"/>
        <v/>
      </c>
      <c r="M607" s="124" t="s">
        <v>65</v>
      </c>
      <c r="V607" s="117" t="str">
        <f t="shared" si="81"/>
        <v xml:space="preserve">   </v>
      </c>
    </row>
    <row r="608" spans="5:22">
      <c r="E608" s="118" t="s">
        <v>64</v>
      </c>
      <c r="F608" s="113" t="str">
        <f t="shared" si="75"/>
        <v>-</v>
      </c>
      <c r="G608" s="114" t="str">
        <f t="shared" si="76"/>
        <v/>
      </c>
      <c r="H608" s="114" t="str">
        <f t="shared" si="77"/>
        <v/>
      </c>
      <c r="I608" s="111" t="s">
        <v>65</v>
      </c>
      <c r="J608" s="113" t="str">
        <f t="shared" si="78"/>
        <v>-</v>
      </c>
      <c r="K608" s="113" t="str">
        <f t="shared" si="79"/>
        <v/>
      </c>
      <c r="L608" s="114" t="str">
        <f t="shared" si="80"/>
        <v/>
      </c>
      <c r="M608" s="124" t="s">
        <v>65</v>
      </c>
      <c r="V608" s="117" t="str">
        <f t="shared" si="81"/>
        <v xml:space="preserve">   </v>
      </c>
    </row>
    <row r="609" spans="5:22">
      <c r="E609" s="118" t="s">
        <v>64</v>
      </c>
      <c r="F609" s="113" t="str">
        <f t="shared" si="75"/>
        <v>-</v>
      </c>
      <c r="G609" s="114" t="str">
        <f t="shared" si="76"/>
        <v/>
      </c>
      <c r="H609" s="114" t="str">
        <f t="shared" si="77"/>
        <v/>
      </c>
      <c r="I609" s="111" t="s">
        <v>65</v>
      </c>
      <c r="J609" s="113" t="str">
        <f t="shared" si="78"/>
        <v>-</v>
      </c>
      <c r="K609" s="113" t="str">
        <f t="shared" si="79"/>
        <v/>
      </c>
      <c r="L609" s="114" t="str">
        <f t="shared" si="80"/>
        <v/>
      </c>
      <c r="M609" s="124" t="s">
        <v>65</v>
      </c>
      <c r="V609" s="117" t="str">
        <f t="shared" si="81"/>
        <v xml:space="preserve">   </v>
      </c>
    </row>
    <row r="610" spans="5:22">
      <c r="E610" s="118" t="s">
        <v>64</v>
      </c>
      <c r="F610" s="113" t="str">
        <f t="shared" si="75"/>
        <v>-</v>
      </c>
      <c r="G610" s="114" t="str">
        <f t="shared" si="76"/>
        <v/>
      </c>
      <c r="H610" s="114" t="str">
        <f t="shared" si="77"/>
        <v/>
      </c>
      <c r="I610" s="111" t="s">
        <v>65</v>
      </c>
      <c r="J610" s="113" t="str">
        <f t="shared" si="78"/>
        <v>-</v>
      </c>
      <c r="K610" s="113" t="str">
        <f t="shared" si="79"/>
        <v/>
      </c>
      <c r="L610" s="114" t="str">
        <f t="shared" si="80"/>
        <v/>
      </c>
      <c r="M610" s="124" t="s">
        <v>65</v>
      </c>
      <c r="V610" s="117" t="str">
        <f t="shared" si="81"/>
        <v xml:space="preserve">   </v>
      </c>
    </row>
    <row r="611" spans="5:22">
      <c r="E611" s="118" t="s">
        <v>64</v>
      </c>
      <c r="F611" s="113" t="str">
        <f t="shared" si="75"/>
        <v>-</v>
      </c>
      <c r="G611" s="114" t="str">
        <f t="shared" si="76"/>
        <v/>
      </c>
      <c r="H611" s="114" t="str">
        <f t="shared" si="77"/>
        <v/>
      </c>
      <c r="I611" s="111" t="s">
        <v>65</v>
      </c>
      <c r="J611" s="113" t="str">
        <f t="shared" si="78"/>
        <v>-</v>
      </c>
      <c r="K611" s="113" t="str">
        <f t="shared" si="79"/>
        <v/>
      </c>
      <c r="L611" s="114" t="str">
        <f t="shared" si="80"/>
        <v/>
      </c>
      <c r="M611" s="124" t="s">
        <v>65</v>
      </c>
      <c r="V611" s="117" t="str">
        <f t="shared" si="81"/>
        <v xml:space="preserve">   </v>
      </c>
    </row>
    <row r="612" spans="5:22">
      <c r="E612" s="118" t="s">
        <v>64</v>
      </c>
      <c r="F612" s="113" t="str">
        <f t="shared" si="75"/>
        <v>-</v>
      </c>
      <c r="G612" s="114" t="str">
        <f t="shared" si="76"/>
        <v/>
      </c>
      <c r="H612" s="114" t="str">
        <f t="shared" si="77"/>
        <v/>
      </c>
      <c r="I612" s="111" t="s">
        <v>65</v>
      </c>
      <c r="J612" s="113" t="str">
        <f t="shared" si="78"/>
        <v>-</v>
      </c>
      <c r="K612" s="113" t="str">
        <f t="shared" si="79"/>
        <v/>
      </c>
      <c r="L612" s="114" t="str">
        <f t="shared" si="80"/>
        <v/>
      </c>
      <c r="M612" s="124" t="s">
        <v>65</v>
      </c>
      <c r="V612" s="117" t="str">
        <f t="shared" si="81"/>
        <v xml:space="preserve">   </v>
      </c>
    </row>
    <row r="613" spans="5:22">
      <c r="E613" s="118" t="s">
        <v>64</v>
      </c>
      <c r="F613" s="113" t="str">
        <f t="shared" si="75"/>
        <v>-</v>
      </c>
      <c r="G613" s="114" t="str">
        <f t="shared" si="76"/>
        <v/>
      </c>
      <c r="H613" s="114" t="str">
        <f t="shared" si="77"/>
        <v/>
      </c>
      <c r="I613" s="111" t="s">
        <v>65</v>
      </c>
      <c r="J613" s="113" t="str">
        <f t="shared" si="78"/>
        <v>-</v>
      </c>
      <c r="K613" s="113" t="str">
        <f t="shared" si="79"/>
        <v/>
      </c>
      <c r="L613" s="114" t="str">
        <f t="shared" si="80"/>
        <v/>
      </c>
      <c r="M613" s="124" t="s">
        <v>65</v>
      </c>
      <c r="V613" s="117" t="str">
        <f t="shared" si="81"/>
        <v xml:space="preserve">   </v>
      </c>
    </row>
    <row r="614" spans="5:22">
      <c r="E614" s="118" t="s">
        <v>64</v>
      </c>
      <c r="F614" s="113" t="str">
        <f t="shared" si="75"/>
        <v>-</v>
      </c>
      <c r="G614" s="114" t="str">
        <f t="shared" si="76"/>
        <v/>
      </c>
      <c r="H614" s="114" t="str">
        <f t="shared" si="77"/>
        <v/>
      </c>
      <c r="I614" s="111" t="s">
        <v>65</v>
      </c>
      <c r="J614" s="113" t="str">
        <f t="shared" si="78"/>
        <v>-</v>
      </c>
      <c r="K614" s="113" t="str">
        <f t="shared" si="79"/>
        <v/>
      </c>
      <c r="L614" s="114" t="str">
        <f t="shared" si="80"/>
        <v/>
      </c>
      <c r="M614" s="124" t="s">
        <v>65</v>
      </c>
      <c r="V614" s="117" t="str">
        <f t="shared" si="81"/>
        <v xml:space="preserve">   </v>
      </c>
    </row>
    <row r="615" spans="5:22">
      <c r="E615" s="118" t="s">
        <v>64</v>
      </c>
      <c r="F615" s="113" t="str">
        <f t="shared" si="75"/>
        <v>-</v>
      </c>
      <c r="G615" s="114" t="str">
        <f t="shared" si="76"/>
        <v/>
      </c>
      <c r="H615" s="114" t="str">
        <f t="shared" si="77"/>
        <v/>
      </c>
      <c r="I615" s="111" t="s">
        <v>65</v>
      </c>
      <c r="J615" s="113" t="str">
        <f t="shared" si="78"/>
        <v>-</v>
      </c>
      <c r="K615" s="113" t="str">
        <f t="shared" si="79"/>
        <v/>
      </c>
      <c r="L615" s="114" t="str">
        <f t="shared" si="80"/>
        <v/>
      </c>
      <c r="M615" s="124" t="s">
        <v>65</v>
      </c>
      <c r="V615" s="117" t="str">
        <f t="shared" si="81"/>
        <v xml:space="preserve">   </v>
      </c>
    </row>
    <row r="616" spans="5:22">
      <c r="E616" s="118" t="s">
        <v>64</v>
      </c>
      <c r="F616" s="113" t="str">
        <f t="shared" si="75"/>
        <v>-</v>
      </c>
      <c r="G616" s="114" t="str">
        <f t="shared" si="76"/>
        <v/>
      </c>
      <c r="H616" s="114" t="str">
        <f t="shared" si="77"/>
        <v/>
      </c>
      <c r="I616" s="111" t="s">
        <v>65</v>
      </c>
      <c r="J616" s="113" t="str">
        <f t="shared" si="78"/>
        <v>-</v>
      </c>
      <c r="K616" s="113" t="str">
        <f t="shared" si="79"/>
        <v/>
      </c>
      <c r="L616" s="114" t="str">
        <f t="shared" si="80"/>
        <v/>
      </c>
      <c r="M616" s="124" t="s">
        <v>65</v>
      </c>
      <c r="V616" s="117" t="str">
        <f t="shared" si="81"/>
        <v xml:space="preserve">   </v>
      </c>
    </row>
    <row r="617" spans="5:22">
      <c r="E617" s="118" t="s">
        <v>64</v>
      </c>
      <c r="F617" s="113" t="str">
        <f t="shared" si="75"/>
        <v>-</v>
      </c>
      <c r="G617" s="114" t="str">
        <f t="shared" si="76"/>
        <v/>
      </c>
      <c r="H617" s="114" t="str">
        <f t="shared" si="77"/>
        <v/>
      </c>
      <c r="I617" s="111" t="s">
        <v>65</v>
      </c>
      <c r="J617" s="113" t="str">
        <f t="shared" si="78"/>
        <v>-</v>
      </c>
      <c r="K617" s="113" t="str">
        <f t="shared" si="79"/>
        <v/>
      </c>
      <c r="L617" s="114" t="str">
        <f t="shared" si="80"/>
        <v/>
      </c>
      <c r="M617" s="124" t="s">
        <v>65</v>
      </c>
      <c r="V617" s="117" t="str">
        <f t="shared" si="81"/>
        <v xml:space="preserve">   </v>
      </c>
    </row>
    <row r="618" spans="5:22">
      <c r="E618" s="118" t="s">
        <v>64</v>
      </c>
      <c r="F618" s="113" t="str">
        <f t="shared" si="75"/>
        <v>-</v>
      </c>
      <c r="G618" s="114" t="str">
        <f t="shared" si="76"/>
        <v/>
      </c>
      <c r="H618" s="114" t="str">
        <f t="shared" si="77"/>
        <v/>
      </c>
      <c r="I618" s="111" t="s">
        <v>65</v>
      </c>
      <c r="J618" s="113" t="str">
        <f t="shared" si="78"/>
        <v>-</v>
      </c>
      <c r="K618" s="113" t="str">
        <f t="shared" si="79"/>
        <v/>
      </c>
      <c r="L618" s="114" t="str">
        <f t="shared" si="80"/>
        <v/>
      </c>
      <c r="M618" s="124" t="s">
        <v>65</v>
      </c>
      <c r="V618" s="117" t="str">
        <f t="shared" si="81"/>
        <v xml:space="preserve">   </v>
      </c>
    </row>
    <row r="619" spans="5:22">
      <c r="E619" s="118" t="s">
        <v>64</v>
      </c>
      <c r="F619" s="113" t="str">
        <f t="shared" si="75"/>
        <v>-</v>
      </c>
      <c r="G619" s="114" t="str">
        <f t="shared" si="76"/>
        <v/>
      </c>
      <c r="H619" s="114" t="str">
        <f t="shared" si="77"/>
        <v/>
      </c>
      <c r="I619" s="111" t="s">
        <v>65</v>
      </c>
      <c r="J619" s="113" t="str">
        <f t="shared" si="78"/>
        <v>-</v>
      </c>
      <c r="K619" s="113" t="str">
        <f t="shared" si="79"/>
        <v/>
      </c>
      <c r="L619" s="114" t="str">
        <f t="shared" si="80"/>
        <v/>
      </c>
      <c r="M619" s="124" t="s">
        <v>65</v>
      </c>
      <c r="V619" s="117" t="str">
        <f t="shared" si="81"/>
        <v xml:space="preserve">   </v>
      </c>
    </row>
    <row r="620" spans="5:22">
      <c r="E620" s="118" t="s">
        <v>64</v>
      </c>
      <c r="F620" s="113" t="str">
        <f t="shared" si="75"/>
        <v>-</v>
      </c>
      <c r="G620" s="114" t="str">
        <f t="shared" si="76"/>
        <v/>
      </c>
      <c r="H620" s="114" t="str">
        <f t="shared" si="77"/>
        <v/>
      </c>
      <c r="I620" s="111" t="s">
        <v>65</v>
      </c>
      <c r="J620" s="113" t="str">
        <f t="shared" si="78"/>
        <v>-</v>
      </c>
      <c r="K620" s="113" t="str">
        <f t="shared" si="79"/>
        <v/>
      </c>
      <c r="L620" s="114" t="str">
        <f t="shared" si="80"/>
        <v/>
      </c>
      <c r="M620" s="124" t="s">
        <v>65</v>
      </c>
      <c r="V620" s="117" t="str">
        <f t="shared" si="81"/>
        <v xml:space="preserve">   </v>
      </c>
    </row>
    <row r="621" spans="5:22">
      <c r="E621" s="118" t="s">
        <v>64</v>
      </c>
      <c r="F621" s="113" t="str">
        <f t="shared" si="75"/>
        <v>-</v>
      </c>
      <c r="G621" s="114" t="str">
        <f t="shared" si="76"/>
        <v/>
      </c>
      <c r="H621" s="114" t="str">
        <f t="shared" si="77"/>
        <v/>
      </c>
      <c r="I621" s="111" t="s">
        <v>65</v>
      </c>
      <c r="J621" s="113" t="str">
        <f t="shared" si="78"/>
        <v>-</v>
      </c>
      <c r="K621" s="113" t="str">
        <f t="shared" si="79"/>
        <v/>
      </c>
      <c r="L621" s="114" t="str">
        <f t="shared" si="80"/>
        <v/>
      </c>
      <c r="M621" s="124" t="s">
        <v>65</v>
      </c>
      <c r="V621" s="117" t="str">
        <f t="shared" si="81"/>
        <v xml:space="preserve">   </v>
      </c>
    </row>
    <row r="622" spans="5:22">
      <c r="E622" s="118" t="s">
        <v>64</v>
      </c>
      <c r="F622" s="113" t="str">
        <f t="shared" si="75"/>
        <v>-</v>
      </c>
      <c r="G622" s="114" t="str">
        <f t="shared" si="76"/>
        <v/>
      </c>
      <c r="H622" s="114" t="str">
        <f t="shared" si="77"/>
        <v/>
      </c>
      <c r="I622" s="111" t="s">
        <v>65</v>
      </c>
      <c r="J622" s="113" t="str">
        <f t="shared" si="78"/>
        <v>-</v>
      </c>
      <c r="K622" s="113" t="str">
        <f t="shared" si="79"/>
        <v/>
      </c>
      <c r="L622" s="114" t="str">
        <f t="shared" si="80"/>
        <v/>
      </c>
      <c r="M622" s="124" t="s">
        <v>65</v>
      </c>
      <c r="V622" s="117" t="str">
        <f t="shared" si="81"/>
        <v xml:space="preserve">   </v>
      </c>
    </row>
    <row r="623" spans="5:22">
      <c r="E623" s="118" t="s">
        <v>64</v>
      </c>
      <c r="F623" s="113" t="str">
        <f t="shared" si="75"/>
        <v>-</v>
      </c>
      <c r="G623" s="114" t="str">
        <f t="shared" si="76"/>
        <v/>
      </c>
      <c r="H623" s="114" t="str">
        <f t="shared" si="77"/>
        <v/>
      </c>
      <c r="I623" s="111" t="s">
        <v>65</v>
      </c>
      <c r="J623" s="113" t="str">
        <f t="shared" si="78"/>
        <v>-</v>
      </c>
      <c r="K623" s="113" t="str">
        <f t="shared" si="79"/>
        <v/>
      </c>
      <c r="L623" s="114" t="str">
        <f t="shared" si="80"/>
        <v/>
      </c>
      <c r="M623" s="124" t="s">
        <v>65</v>
      </c>
      <c r="V623" s="117" t="str">
        <f t="shared" si="81"/>
        <v xml:space="preserve">   </v>
      </c>
    </row>
    <row r="624" spans="5:22">
      <c r="E624" s="118" t="s">
        <v>64</v>
      </c>
      <c r="F624" s="113" t="str">
        <f t="shared" si="75"/>
        <v>-</v>
      </c>
      <c r="G624" s="114" t="str">
        <f t="shared" si="76"/>
        <v/>
      </c>
      <c r="H624" s="114" t="str">
        <f t="shared" si="77"/>
        <v/>
      </c>
      <c r="I624" s="111" t="s">
        <v>65</v>
      </c>
      <c r="J624" s="113" t="str">
        <f t="shared" si="78"/>
        <v>-</v>
      </c>
      <c r="K624" s="113" t="str">
        <f t="shared" si="79"/>
        <v/>
      </c>
      <c r="L624" s="114" t="str">
        <f t="shared" si="80"/>
        <v/>
      </c>
      <c r="M624" s="124" t="s">
        <v>65</v>
      </c>
      <c r="V624" s="117" t="str">
        <f t="shared" si="81"/>
        <v xml:space="preserve">   </v>
      </c>
    </row>
    <row r="625" spans="5:22">
      <c r="E625" s="118" t="s">
        <v>64</v>
      </c>
      <c r="F625" s="113" t="str">
        <f t="shared" si="75"/>
        <v>-</v>
      </c>
      <c r="G625" s="114" t="str">
        <f t="shared" si="76"/>
        <v/>
      </c>
      <c r="H625" s="114" t="str">
        <f t="shared" si="77"/>
        <v/>
      </c>
      <c r="I625" s="111" t="s">
        <v>65</v>
      </c>
      <c r="J625" s="113" t="str">
        <f t="shared" si="78"/>
        <v>-</v>
      </c>
      <c r="K625" s="113" t="str">
        <f t="shared" si="79"/>
        <v/>
      </c>
      <c r="L625" s="114" t="str">
        <f t="shared" si="80"/>
        <v/>
      </c>
      <c r="M625" s="124" t="s">
        <v>65</v>
      </c>
      <c r="V625" s="117" t="str">
        <f t="shared" si="81"/>
        <v xml:space="preserve">   </v>
      </c>
    </row>
    <row r="626" spans="5:22">
      <c r="E626" s="118" t="s">
        <v>64</v>
      </c>
      <c r="F626" s="113" t="str">
        <f t="shared" si="75"/>
        <v>-</v>
      </c>
      <c r="G626" s="114" t="str">
        <f t="shared" si="76"/>
        <v/>
      </c>
      <c r="H626" s="114" t="str">
        <f t="shared" si="77"/>
        <v/>
      </c>
      <c r="I626" s="111" t="s">
        <v>65</v>
      </c>
      <c r="J626" s="113" t="str">
        <f t="shared" si="78"/>
        <v>-</v>
      </c>
      <c r="K626" s="113" t="str">
        <f t="shared" si="79"/>
        <v/>
      </c>
      <c r="L626" s="114" t="str">
        <f t="shared" si="80"/>
        <v/>
      </c>
      <c r="M626" s="124" t="s">
        <v>65</v>
      </c>
      <c r="V626" s="117" t="str">
        <f t="shared" si="81"/>
        <v xml:space="preserve">   </v>
      </c>
    </row>
    <row r="627" spans="5:22">
      <c r="E627" s="118" t="s">
        <v>64</v>
      </c>
      <c r="F627" s="113" t="str">
        <f t="shared" si="75"/>
        <v>-</v>
      </c>
      <c r="G627" s="114" t="str">
        <f t="shared" si="76"/>
        <v/>
      </c>
      <c r="H627" s="114" t="str">
        <f t="shared" si="77"/>
        <v/>
      </c>
      <c r="I627" s="111" t="s">
        <v>65</v>
      </c>
      <c r="J627" s="113" t="str">
        <f t="shared" si="78"/>
        <v>-</v>
      </c>
      <c r="K627" s="113" t="str">
        <f t="shared" si="79"/>
        <v/>
      </c>
      <c r="L627" s="114" t="str">
        <f t="shared" si="80"/>
        <v/>
      </c>
      <c r="M627" s="124" t="s">
        <v>65</v>
      </c>
      <c r="V627" s="117" t="str">
        <f t="shared" si="81"/>
        <v xml:space="preserve">   </v>
      </c>
    </row>
    <row r="628" spans="5:22">
      <c r="E628" s="118" t="s">
        <v>64</v>
      </c>
      <c r="F628" s="113" t="str">
        <f t="shared" si="75"/>
        <v>-</v>
      </c>
      <c r="G628" s="114" t="str">
        <f t="shared" si="76"/>
        <v/>
      </c>
      <c r="H628" s="114" t="str">
        <f t="shared" si="77"/>
        <v/>
      </c>
      <c r="I628" s="111" t="s">
        <v>65</v>
      </c>
      <c r="J628" s="113" t="str">
        <f t="shared" si="78"/>
        <v>-</v>
      </c>
      <c r="K628" s="113" t="str">
        <f t="shared" si="79"/>
        <v/>
      </c>
      <c r="L628" s="114" t="str">
        <f t="shared" si="80"/>
        <v/>
      </c>
      <c r="M628" s="124" t="s">
        <v>65</v>
      </c>
      <c r="V628" s="117" t="str">
        <f t="shared" si="81"/>
        <v xml:space="preserve">   </v>
      </c>
    </row>
    <row r="629" spans="5:22">
      <c r="E629" s="118" t="s">
        <v>64</v>
      </c>
      <c r="F629" s="113" t="str">
        <f t="shared" ref="F629:F692" si="82">IFERROR(INDEX(A629,MATCH(E629&amp;"*",A629,)),"-")</f>
        <v>-</v>
      </c>
      <c r="G629" s="114" t="str">
        <f t="shared" ref="G629:G692" si="83">IF(F629="-","",LEFT(F629,6))</f>
        <v/>
      </c>
      <c r="H629" s="114" t="str">
        <f t="shared" ref="H629:H692" si="84">MID(F629,8,50)</f>
        <v/>
      </c>
      <c r="I629" s="111" t="s">
        <v>65</v>
      </c>
      <c r="J629" s="113" t="str">
        <f t="shared" ref="J629:J692" si="85">IF(F629="-","-",LEFT(F629,6))</f>
        <v>-</v>
      </c>
      <c r="K629" s="113" t="str">
        <f t="shared" ref="K629:K692" si="86">I629</f>
        <v/>
      </c>
      <c r="L629" s="114" t="str">
        <f t="shared" ref="L629:L692" si="87">IF(F629="-","",B629)</f>
        <v/>
      </c>
      <c r="M629" s="124" t="s">
        <v>65</v>
      </c>
      <c r="V629" s="117" t="str">
        <f t="shared" si="81"/>
        <v xml:space="preserve">   </v>
      </c>
    </row>
    <row r="630" spans="5:22">
      <c r="E630" s="118" t="s">
        <v>64</v>
      </c>
      <c r="F630" s="113" t="str">
        <f t="shared" si="82"/>
        <v>-</v>
      </c>
      <c r="G630" s="114" t="str">
        <f t="shared" si="83"/>
        <v/>
      </c>
      <c r="H630" s="114" t="str">
        <f t="shared" si="84"/>
        <v/>
      </c>
      <c r="I630" s="111" t="s">
        <v>65</v>
      </c>
      <c r="J630" s="113" t="str">
        <f t="shared" si="85"/>
        <v>-</v>
      </c>
      <c r="K630" s="113" t="str">
        <f t="shared" si="86"/>
        <v/>
      </c>
      <c r="L630" s="114" t="str">
        <f t="shared" si="87"/>
        <v/>
      </c>
      <c r="M630" s="124" t="s">
        <v>65</v>
      </c>
      <c r="V630" s="117" t="str">
        <f t="shared" si="81"/>
        <v xml:space="preserve">   </v>
      </c>
    </row>
    <row r="631" spans="5:22">
      <c r="E631" s="118" t="s">
        <v>64</v>
      </c>
      <c r="F631" s="113" t="str">
        <f t="shared" si="82"/>
        <v>-</v>
      </c>
      <c r="G631" s="114" t="str">
        <f t="shared" si="83"/>
        <v/>
      </c>
      <c r="H631" s="114" t="str">
        <f t="shared" si="84"/>
        <v/>
      </c>
      <c r="I631" s="111" t="s">
        <v>65</v>
      </c>
      <c r="J631" s="113" t="str">
        <f t="shared" si="85"/>
        <v>-</v>
      </c>
      <c r="K631" s="113" t="str">
        <f t="shared" si="86"/>
        <v/>
      </c>
      <c r="L631" s="114" t="str">
        <f t="shared" si="87"/>
        <v/>
      </c>
      <c r="M631" s="124" t="s">
        <v>65</v>
      </c>
      <c r="V631" s="117" t="str">
        <f t="shared" si="81"/>
        <v xml:space="preserve">   </v>
      </c>
    </row>
    <row r="632" spans="5:22">
      <c r="E632" s="118" t="s">
        <v>64</v>
      </c>
      <c r="F632" s="113" t="str">
        <f t="shared" si="82"/>
        <v>-</v>
      </c>
      <c r="G632" s="114" t="str">
        <f t="shared" si="83"/>
        <v/>
      </c>
      <c r="H632" s="114" t="str">
        <f t="shared" si="84"/>
        <v/>
      </c>
      <c r="I632" s="111" t="s">
        <v>65</v>
      </c>
      <c r="J632" s="113" t="str">
        <f t="shared" si="85"/>
        <v>-</v>
      </c>
      <c r="K632" s="113" t="str">
        <f t="shared" si="86"/>
        <v/>
      </c>
      <c r="L632" s="114" t="str">
        <f t="shared" si="87"/>
        <v/>
      </c>
      <c r="M632" s="124" t="s">
        <v>65</v>
      </c>
      <c r="V632" s="117" t="str">
        <f t="shared" si="81"/>
        <v xml:space="preserve">   </v>
      </c>
    </row>
    <row r="633" spans="5:22">
      <c r="E633" s="118" t="s">
        <v>64</v>
      </c>
      <c r="F633" s="113" t="str">
        <f t="shared" si="82"/>
        <v>-</v>
      </c>
      <c r="G633" s="114" t="str">
        <f t="shared" si="83"/>
        <v/>
      </c>
      <c r="H633" s="114" t="str">
        <f t="shared" si="84"/>
        <v/>
      </c>
      <c r="I633" s="111" t="s">
        <v>65</v>
      </c>
      <c r="J633" s="113" t="str">
        <f t="shared" si="85"/>
        <v>-</v>
      </c>
      <c r="K633" s="113" t="str">
        <f t="shared" si="86"/>
        <v/>
      </c>
      <c r="L633" s="114" t="str">
        <f t="shared" si="87"/>
        <v/>
      </c>
      <c r="M633" s="124" t="s">
        <v>65</v>
      </c>
      <c r="V633" s="117" t="str">
        <f t="shared" si="81"/>
        <v xml:space="preserve">   </v>
      </c>
    </row>
    <row r="634" spans="5:22">
      <c r="E634" s="118" t="s">
        <v>64</v>
      </c>
      <c r="F634" s="113" t="str">
        <f t="shared" si="82"/>
        <v>-</v>
      </c>
      <c r="G634" s="114" t="str">
        <f t="shared" si="83"/>
        <v/>
      </c>
      <c r="H634" s="114" t="str">
        <f t="shared" si="84"/>
        <v/>
      </c>
      <c r="I634" s="111" t="s">
        <v>65</v>
      </c>
      <c r="J634" s="113" t="str">
        <f t="shared" si="85"/>
        <v>-</v>
      </c>
      <c r="K634" s="113" t="str">
        <f t="shared" si="86"/>
        <v/>
      </c>
      <c r="L634" s="114" t="str">
        <f t="shared" si="87"/>
        <v/>
      </c>
      <c r="M634" s="124" t="s">
        <v>65</v>
      </c>
      <c r="V634" s="117" t="str">
        <f t="shared" si="81"/>
        <v xml:space="preserve">   </v>
      </c>
    </row>
    <row r="635" spans="5:22">
      <c r="E635" s="118" t="s">
        <v>64</v>
      </c>
      <c r="F635" s="113" t="str">
        <f t="shared" si="82"/>
        <v>-</v>
      </c>
      <c r="G635" s="114" t="str">
        <f t="shared" si="83"/>
        <v/>
      </c>
      <c r="H635" s="114" t="str">
        <f t="shared" si="84"/>
        <v/>
      </c>
      <c r="I635" s="111" t="s">
        <v>65</v>
      </c>
      <c r="J635" s="113" t="str">
        <f t="shared" si="85"/>
        <v>-</v>
      </c>
      <c r="K635" s="113" t="str">
        <f t="shared" si="86"/>
        <v/>
      </c>
      <c r="L635" s="114" t="str">
        <f t="shared" si="87"/>
        <v/>
      </c>
      <c r="M635" s="124" t="s">
        <v>65</v>
      </c>
      <c r="V635" s="117" t="str">
        <f t="shared" si="81"/>
        <v xml:space="preserve">   </v>
      </c>
    </row>
    <row r="636" spans="5:22">
      <c r="E636" s="118" t="s">
        <v>64</v>
      </c>
      <c r="F636" s="113" t="str">
        <f t="shared" si="82"/>
        <v>-</v>
      </c>
      <c r="G636" s="114" t="str">
        <f t="shared" si="83"/>
        <v/>
      </c>
      <c r="H636" s="114" t="str">
        <f t="shared" si="84"/>
        <v/>
      </c>
      <c r="I636" s="111" t="s">
        <v>65</v>
      </c>
      <c r="J636" s="113" t="str">
        <f t="shared" si="85"/>
        <v>-</v>
      </c>
      <c r="K636" s="113" t="str">
        <f t="shared" si="86"/>
        <v/>
      </c>
      <c r="L636" s="114" t="str">
        <f t="shared" si="87"/>
        <v/>
      </c>
      <c r="M636" s="124" t="s">
        <v>65</v>
      </c>
      <c r="V636" s="117" t="str">
        <f t="shared" si="81"/>
        <v xml:space="preserve">   </v>
      </c>
    </row>
    <row r="637" spans="5:22">
      <c r="E637" s="118" t="s">
        <v>64</v>
      </c>
      <c r="F637" s="113" t="str">
        <f t="shared" si="82"/>
        <v>-</v>
      </c>
      <c r="G637" s="114" t="str">
        <f t="shared" si="83"/>
        <v/>
      </c>
      <c r="H637" s="114" t="str">
        <f t="shared" si="84"/>
        <v/>
      </c>
      <c r="I637" s="111" t="s">
        <v>65</v>
      </c>
      <c r="J637" s="113" t="str">
        <f t="shared" si="85"/>
        <v>-</v>
      </c>
      <c r="K637" s="113" t="str">
        <f t="shared" si="86"/>
        <v/>
      </c>
      <c r="L637" s="114" t="str">
        <f t="shared" si="87"/>
        <v/>
      </c>
      <c r="M637" s="124" t="s">
        <v>65</v>
      </c>
      <c r="V637" s="117" t="str">
        <f t="shared" si="81"/>
        <v xml:space="preserve">   </v>
      </c>
    </row>
    <row r="638" spans="5:22">
      <c r="E638" s="118" t="s">
        <v>64</v>
      </c>
      <c r="F638" s="113" t="str">
        <f t="shared" si="82"/>
        <v>-</v>
      </c>
      <c r="G638" s="114" t="str">
        <f t="shared" si="83"/>
        <v/>
      </c>
      <c r="H638" s="114" t="str">
        <f t="shared" si="84"/>
        <v/>
      </c>
      <c r="I638" s="111" t="s">
        <v>65</v>
      </c>
      <c r="J638" s="113" t="str">
        <f t="shared" si="85"/>
        <v>-</v>
      </c>
      <c r="K638" s="113" t="str">
        <f t="shared" si="86"/>
        <v/>
      </c>
      <c r="L638" s="114" t="str">
        <f t="shared" si="87"/>
        <v/>
      </c>
      <c r="M638" s="124" t="s">
        <v>65</v>
      </c>
      <c r="V638" s="117" t="str">
        <f t="shared" si="81"/>
        <v xml:space="preserve">   </v>
      </c>
    </row>
    <row r="639" spans="5:22">
      <c r="E639" s="118" t="s">
        <v>64</v>
      </c>
      <c r="F639" s="113" t="str">
        <f t="shared" si="82"/>
        <v>-</v>
      </c>
      <c r="G639" s="114" t="str">
        <f t="shared" si="83"/>
        <v/>
      </c>
      <c r="H639" s="114" t="str">
        <f t="shared" si="84"/>
        <v/>
      </c>
      <c r="I639" s="111" t="s">
        <v>65</v>
      </c>
      <c r="J639" s="113" t="str">
        <f t="shared" si="85"/>
        <v>-</v>
      </c>
      <c r="K639" s="113" t="str">
        <f t="shared" si="86"/>
        <v/>
      </c>
      <c r="L639" s="114" t="str">
        <f t="shared" si="87"/>
        <v/>
      </c>
      <c r="M639" s="124" t="s">
        <v>65</v>
      </c>
      <c r="V639" s="117" t="str">
        <f t="shared" si="81"/>
        <v xml:space="preserve">   </v>
      </c>
    </row>
    <row r="640" spans="5:22">
      <c r="E640" s="118" t="s">
        <v>64</v>
      </c>
      <c r="F640" s="113" t="str">
        <f t="shared" si="82"/>
        <v>-</v>
      </c>
      <c r="G640" s="114" t="str">
        <f t="shared" si="83"/>
        <v/>
      </c>
      <c r="H640" s="114" t="str">
        <f t="shared" si="84"/>
        <v/>
      </c>
      <c r="I640" s="111" t="s">
        <v>65</v>
      </c>
      <c r="J640" s="113" t="str">
        <f t="shared" si="85"/>
        <v>-</v>
      </c>
      <c r="K640" s="113" t="str">
        <f t="shared" si="86"/>
        <v/>
      </c>
      <c r="L640" s="114" t="str">
        <f t="shared" si="87"/>
        <v/>
      </c>
      <c r="M640" s="124" t="s">
        <v>65</v>
      </c>
      <c r="V640" s="117" t="str">
        <f t="shared" si="81"/>
        <v xml:space="preserve">   </v>
      </c>
    </row>
    <row r="641" spans="5:22">
      <c r="E641" s="118" t="s">
        <v>64</v>
      </c>
      <c r="F641" s="113" t="str">
        <f t="shared" si="82"/>
        <v>-</v>
      </c>
      <c r="G641" s="114" t="str">
        <f t="shared" si="83"/>
        <v/>
      </c>
      <c r="H641" s="114" t="str">
        <f t="shared" si="84"/>
        <v/>
      </c>
      <c r="I641" s="111" t="s">
        <v>65</v>
      </c>
      <c r="J641" s="113" t="str">
        <f t="shared" si="85"/>
        <v>-</v>
      </c>
      <c r="K641" s="113" t="str">
        <f t="shared" si="86"/>
        <v/>
      </c>
      <c r="L641" s="114" t="str">
        <f t="shared" si="87"/>
        <v/>
      </c>
      <c r="M641" s="124" t="s">
        <v>65</v>
      </c>
      <c r="V641" s="117" t="str">
        <f t="shared" si="81"/>
        <v xml:space="preserve">   </v>
      </c>
    </row>
    <row r="642" spans="5:22">
      <c r="E642" s="118" t="s">
        <v>64</v>
      </c>
      <c r="F642" s="113" t="str">
        <f t="shared" si="82"/>
        <v>-</v>
      </c>
      <c r="G642" s="114" t="str">
        <f t="shared" si="83"/>
        <v/>
      </c>
      <c r="H642" s="114" t="str">
        <f t="shared" si="84"/>
        <v/>
      </c>
      <c r="I642" s="111" t="s">
        <v>65</v>
      </c>
      <c r="J642" s="113" t="str">
        <f t="shared" si="85"/>
        <v>-</v>
      </c>
      <c r="K642" s="113" t="str">
        <f t="shared" si="86"/>
        <v/>
      </c>
      <c r="L642" s="114" t="str">
        <f t="shared" si="87"/>
        <v/>
      </c>
      <c r="M642" s="124" t="s">
        <v>65</v>
      </c>
      <c r="V642" s="117" t="str">
        <f t="shared" si="81"/>
        <v xml:space="preserve">   </v>
      </c>
    </row>
    <row r="643" spans="5:22">
      <c r="E643" s="118" t="s">
        <v>64</v>
      </c>
      <c r="F643" s="113" t="str">
        <f t="shared" si="82"/>
        <v>-</v>
      </c>
      <c r="G643" s="114" t="str">
        <f t="shared" si="83"/>
        <v/>
      </c>
      <c r="H643" s="114" t="str">
        <f t="shared" si="84"/>
        <v/>
      </c>
      <c r="I643" s="111" t="s">
        <v>65</v>
      </c>
      <c r="J643" s="113" t="str">
        <f t="shared" si="85"/>
        <v>-</v>
      </c>
      <c r="K643" s="113" t="str">
        <f t="shared" si="86"/>
        <v/>
      </c>
      <c r="L643" s="114" t="str">
        <f t="shared" si="87"/>
        <v/>
      </c>
      <c r="M643" s="124" t="s">
        <v>65</v>
      </c>
      <c r="V643" s="117" t="str">
        <f t="shared" si="81"/>
        <v xml:space="preserve">   </v>
      </c>
    </row>
    <row r="644" spans="5:22">
      <c r="E644" s="118" t="s">
        <v>64</v>
      </c>
      <c r="F644" s="113" t="str">
        <f t="shared" si="82"/>
        <v>-</v>
      </c>
      <c r="G644" s="114" t="str">
        <f t="shared" si="83"/>
        <v/>
      </c>
      <c r="H644" s="114" t="str">
        <f t="shared" si="84"/>
        <v/>
      </c>
      <c r="I644" s="111" t="s">
        <v>65</v>
      </c>
      <c r="J644" s="113" t="str">
        <f t="shared" si="85"/>
        <v>-</v>
      </c>
      <c r="K644" s="113" t="str">
        <f t="shared" si="86"/>
        <v/>
      </c>
      <c r="L644" s="114" t="str">
        <f t="shared" si="87"/>
        <v/>
      </c>
      <c r="M644" s="124" t="s">
        <v>65</v>
      </c>
      <c r="V644" s="117" t="str">
        <f t="shared" si="81"/>
        <v xml:space="preserve">   </v>
      </c>
    </row>
    <row r="645" spans="5:22">
      <c r="E645" s="118" t="s">
        <v>64</v>
      </c>
      <c r="F645" s="113" t="str">
        <f t="shared" si="82"/>
        <v>-</v>
      </c>
      <c r="G645" s="114" t="str">
        <f t="shared" si="83"/>
        <v/>
      </c>
      <c r="H645" s="114" t="str">
        <f t="shared" si="84"/>
        <v/>
      </c>
      <c r="I645" s="111" t="s">
        <v>65</v>
      </c>
      <c r="J645" s="113" t="str">
        <f t="shared" si="85"/>
        <v>-</v>
      </c>
      <c r="K645" s="113" t="str">
        <f t="shared" si="86"/>
        <v/>
      </c>
      <c r="L645" s="114" t="str">
        <f t="shared" si="87"/>
        <v/>
      </c>
      <c r="M645" s="124" t="s">
        <v>65</v>
      </c>
      <c r="V645" s="117" t="str">
        <f t="shared" si="81"/>
        <v xml:space="preserve">   </v>
      </c>
    </row>
    <row r="646" spans="5:22">
      <c r="E646" s="118" t="s">
        <v>64</v>
      </c>
      <c r="F646" s="113" t="str">
        <f t="shared" si="82"/>
        <v>-</v>
      </c>
      <c r="G646" s="114" t="str">
        <f t="shared" si="83"/>
        <v/>
      </c>
      <c r="H646" s="114" t="str">
        <f t="shared" si="84"/>
        <v/>
      </c>
      <c r="I646" s="111" t="s">
        <v>65</v>
      </c>
      <c r="J646" s="113" t="str">
        <f t="shared" si="85"/>
        <v>-</v>
      </c>
      <c r="K646" s="113" t="str">
        <f t="shared" si="86"/>
        <v/>
      </c>
      <c r="L646" s="114" t="str">
        <f t="shared" si="87"/>
        <v/>
      </c>
      <c r="M646" s="124" t="s">
        <v>65</v>
      </c>
      <c r="V646" s="117" t="str">
        <f t="shared" ref="V646:V700" si="88">CONCATENATE(A646," ",B646," ",C646," ",D646)</f>
        <v xml:space="preserve">   </v>
      </c>
    </row>
    <row r="647" spans="5:22">
      <c r="E647" s="118" t="s">
        <v>64</v>
      </c>
      <c r="F647" s="113" t="str">
        <f t="shared" si="82"/>
        <v>-</v>
      </c>
      <c r="G647" s="114" t="str">
        <f t="shared" si="83"/>
        <v/>
      </c>
      <c r="H647" s="114" t="str">
        <f t="shared" si="84"/>
        <v/>
      </c>
      <c r="I647" s="111" t="s">
        <v>65</v>
      </c>
      <c r="J647" s="113" t="str">
        <f t="shared" si="85"/>
        <v>-</v>
      </c>
      <c r="K647" s="113" t="str">
        <f t="shared" si="86"/>
        <v/>
      </c>
      <c r="L647" s="114" t="str">
        <f t="shared" si="87"/>
        <v/>
      </c>
      <c r="M647" s="124" t="s">
        <v>65</v>
      </c>
      <c r="V647" s="117" t="str">
        <f t="shared" si="88"/>
        <v xml:space="preserve">   </v>
      </c>
    </row>
    <row r="648" spans="5:22">
      <c r="E648" s="118" t="s">
        <v>64</v>
      </c>
      <c r="F648" s="113" t="str">
        <f t="shared" si="82"/>
        <v>-</v>
      </c>
      <c r="G648" s="114" t="str">
        <f t="shared" si="83"/>
        <v/>
      </c>
      <c r="H648" s="114" t="str">
        <f t="shared" si="84"/>
        <v/>
      </c>
      <c r="I648" s="111" t="s">
        <v>65</v>
      </c>
      <c r="J648" s="113" t="str">
        <f t="shared" si="85"/>
        <v>-</v>
      </c>
      <c r="K648" s="113" t="str">
        <f t="shared" si="86"/>
        <v/>
      </c>
      <c r="L648" s="114" t="str">
        <f t="shared" si="87"/>
        <v/>
      </c>
      <c r="M648" s="124" t="s">
        <v>65</v>
      </c>
      <c r="V648" s="117" t="str">
        <f t="shared" si="88"/>
        <v xml:space="preserve">   </v>
      </c>
    </row>
    <row r="649" spans="5:22">
      <c r="E649" s="118" t="s">
        <v>64</v>
      </c>
      <c r="F649" s="113" t="str">
        <f t="shared" si="82"/>
        <v>-</v>
      </c>
      <c r="G649" s="114" t="str">
        <f t="shared" si="83"/>
        <v/>
      </c>
      <c r="H649" s="114" t="str">
        <f t="shared" si="84"/>
        <v/>
      </c>
      <c r="I649" s="111" t="s">
        <v>65</v>
      </c>
      <c r="J649" s="113" t="str">
        <f t="shared" si="85"/>
        <v>-</v>
      </c>
      <c r="K649" s="113" t="str">
        <f t="shared" si="86"/>
        <v/>
      </c>
      <c r="L649" s="114" t="str">
        <f t="shared" si="87"/>
        <v/>
      </c>
      <c r="M649" s="124" t="s">
        <v>65</v>
      </c>
      <c r="V649" s="117" t="str">
        <f t="shared" si="88"/>
        <v xml:space="preserve">   </v>
      </c>
    </row>
    <row r="650" spans="5:22">
      <c r="E650" s="118" t="s">
        <v>64</v>
      </c>
      <c r="F650" s="113" t="str">
        <f t="shared" si="82"/>
        <v>-</v>
      </c>
      <c r="G650" s="114" t="str">
        <f t="shared" si="83"/>
        <v/>
      </c>
      <c r="H650" s="114" t="str">
        <f t="shared" si="84"/>
        <v/>
      </c>
      <c r="I650" s="111" t="s">
        <v>65</v>
      </c>
      <c r="J650" s="113" t="str">
        <f t="shared" si="85"/>
        <v>-</v>
      </c>
      <c r="K650" s="113" t="str">
        <f t="shared" si="86"/>
        <v/>
      </c>
      <c r="L650" s="114" t="str">
        <f t="shared" si="87"/>
        <v/>
      </c>
      <c r="M650" s="124" t="s">
        <v>65</v>
      </c>
      <c r="V650" s="117" t="str">
        <f t="shared" si="88"/>
        <v xml:space="preserve">   </v>
      </c>
    </row>
    <row r="651" spans="5:22">
      <c r="E651" s="118" t="s">
        <v>64</v>
      </c>
      <c r="F651" s="113" t="str">
        <f t="shared" si="82"/>
        <v>-</v>
      </c>
      <c r="G651" s="114" t="str">
        <f t="shared" si="83"/>
        <v/>
      </c>
      <c r="H651" s="114" t="str">
        <f t="shared" si="84"/>
        <v/>
      </c>
      <c r="I651" s="111" t="s">
        <v>65</v>
      </c>
      <c r="J651" s="113" t="str">
        <f t="shared" si="85"/>
        <v>-</v>
      </c>
      <c r="K651" s="113" t="str">
        <f t="shared" si="86"/>
        <v/>
      </c>
      <c r="L651" s="114" t="str">
        <f t="shared" si="87"/>
        <v/>
      </c>
      <c r="M651" s="124" t="s">
        <v>65</v>
      </c>
      <c r="V651" s="117" t="str">
        <f t="shared" si="88"/>
        <v xml:space="preserve">   </v>
      </c>
    </row>
    <row r="652" spans="5:22">
      <c r="E652" s="118" t="s">
        <v>64</v>
      </c>
      <c r="F652" s="113" t="str">
        <f t="shared" si="82"/>
        <v>-</v>
      </c>
      <c r="G652" s="114" t="str">
        <f t="shared" si="83"/>
        <v/>
      </c>
      <c r="H652" s="114" t="str">
        <f t="shared" si="84"/>
        <v/>
      </c>
      <c r="I652" s="111" t="s">
        <v>65</v>
      </c>
      <c r="J652" s="113" t="str">
        <f t="shared" si="85"/>
        <v>-</v>
      </c>
      <c r="K652" s="113" t="str">
        <f t="shared" si="86"/>
        <v/>
      </c>
      <c r="L652" s="114" t="str">
        <f t="shared" si="87"/>
        <v/>
      </c>
      <c r="M652" s="124" t="s">
        <v>65</v>
      </c>
      <c r="V652" s="117" t="str">
        <f t="shared" si="88"/>
        <v xml:space="preserve">   </v>
      </c>
    </row>
    <row r="653" spans="5:22">
      <c r="E653" s="118" t="s">
        <v>64</v>
      </c>
      <c r="F653" s="113" t="str">
        <f t="shared" si="82"/>
        <v>-</v>
      </c>
      <c r="G653" s="114" t="str">
        <f t="shared" si="83"/>
        <v/>
      </c>
      <c r="H653" s="114" t="str">
        <f t="shared" si="84"/>
        <v/>
      </c>
      <c r="I653" s="111" t="s">
        <v>65</v>
      </c>
      <c r="J653" s="113" t="str">
        <f t="shared" si="85"/>
        <v>-</v>
      </c>
      <c r="K653" s="113" t="str">
        <f t="shared" si="86"/>
        <v/>
      </c>
      <c r="L653" s="114" t="str">
        <f t="shared" si="87"/>
        <v/>
      </c>
      <c r="M653" s="124" t="s">
        <v>65</v>
      </c>
      <c r="V653" s="117" t="str">
        <f t="shared" si="88"/>
        <v xml:space="preserve">   </v>
      </c>
    </row>
    <row r="654" spans="5:22">
      <c r="E654" s="118" t="s">
        <v>64</v>
      </c>
      <c r="F654" s="113" t="str">
        <f t="shared" si="82"/>
        <v>-</v>
      </c>
      <c r="G654" s="114" t="str">
        <f t="shared" si="83"/>
        <v/>
      </c>
      <c r="H654" s="114" t="str">
        <f t="shared" si="84"/>
        <v/>
      </c>
      <c r="I654" s="111" t="s">
        <v>65</v>
      </c>
      <c r="J654" s="113" t="str">
        <f t="shared" si="85"/>
        <v>-</v>
      </c>
      <c r="K654" s="113" t="str">
        <f t="shared" si="86"/>
        <v/>
      </c>
      <c r="L654" s="114" t="str">
        <f t="shared" si="87"/>
        <v/>
      </c>
      <c r="M654" s="124" t="s">
        <v>65</v>
      </c>
      <c r="V654" s="117" t="str">
        <f t="shared" si="88"/>
        <v xml:space="preserve">   </v>
      </c>
    </row>
    <row r="655" spans="5:22">
      <c r="E655" s="118" t="s">
        <v>64</v>
      </c>
      <c r="F655" s="113" t="str">
        <f t="shared" si="82"/>
        <v>-</v>
      </c>
      <c r="G655" s="114" t="str">
        <f t="shared" si="83"/>
        <v/>
      </c>
      <c r="H655" s="114" t="str">
        <f t="shared" si="84"/>
        <v/>
      </c>
      <c r="I655" s="111" t="s">
        <v>65</v>
      </c>
      <c r="J655" s="113" t="str">
        <f t="shared" si="85"/>
        <v>-</v>
      </c>
      <c r="K655" s="113" t="str">
        <f t="shared" si="86"/>
        <v/>
      </c>
      <c r="L655" s="114" t="str">
        <f t="shared" si="87"/>
        <v/>
      </c>
      <c r="M655" s="124" t="s">
        <v>65</v>
      </c>
      <c r="V655" s="117" t="str">
        <f t="shared" si="88"/>
        <v xml:space="preserve">   </v>
      </c>
    </row>
    <row r="656" spans="5:22">
      <c r="E656" s="118" t="s">
        <v>64</v>
      </c>
      <c r="F656" s="113" t="str">
        <f t="shared" si="82"/>
        <v>-</v>
      </c>
      <c r="G656" s="114" t="str">
        <f t="shared" si="83"/>
        <v/>
      </c>
      <c r="H656" s="114" t="str">
        <f t="shared" si="84"/>
        <v/>
      </c>
      <c r="I656" s="111" t="s">
        <v>65</v>
      </c>
      <c r="J656" s="113" t="str">
        <f t="shared" si="85"/>
        <v>-</v>
      </c>
      <c r="K656" s="113" t="str">
        <f t="shared" si="86"/>
        <v/>
      </c>
      <c r="L656" s="114" t="str">
        <f t="shared" si="87"/>
        <v/>
      </c>
      <c r="M656" s="124" t="s">
        <v>65</v>
      </c>
      <c r="V656" s="117" t="str">
        <f t="shared" si="88"/>
        <v xml:space="preserve">   </v>
      </c>
    </row>
    <row r="657" spans="5:22">
      <c r="E657" s="118" t="s">
        <v>64</v>
      </c>
      <c r="F657" s="113" t="str">
        <f t="shared" si="82"/>
        <v>-</v>
      </c>
      <c r="G657" s="114" t="str">
        <f t="shared" si="83"/>
        <v/>
      </c>
      <c r="H657" s="114" t="str">
        <f t="shared" si="84"/>
        <v/>
      </c>
      <c r="I657" s="111" t="s">
        <v>65</v>
      </c>
      <c r="J657" s="113" t="str">
        <f t="shared" si="85"/>
        <v>-</v>
      </c>
      <c r="K657" s="113" t="str">
        <f t="shared" si="86"/>
        <v/>
      </c>
      <c r="L657" s="114" t="str">
        <f t="shared" si="87"/>
        <v/>
      </c>
      <c r="M657" s="124" t="s">
        <v>65</v>
      </c>
      <c r="V657" s="117" t="str">
        <f t="shared" si="88"/>
        <v xml:space="preserve">   </v>
      </c>
    </row>
    <row r="658" spans="5:22">
      <c r="E658" s="118" t="s">
        <v>64</v>
      </c>
      <c r="F658" s="113" t="str">
        <f t="shared" si="82"/>
        <v>-</v>
      </c>
      <c r="G658" s="114" t="str">
        <f t="shared" si="83"/>
        <v/>
      </c>
      <c r="H658" s="114" t="str">
        <f t="shared" si="84"/>
        <v/>
      </c>
      <c r="I658" s="111" t="s">
        <v>65</v>
      </c>
      <c r="J658" s="113" t="str">
        <f t="shared" si="85"/>
        <v>-</v>
      </c>
      <c r="K658" s="113" t="str">
        <f t="shared" si="86"/>
        <v/>
      </c>
      <c r="L658" s="114" t="str">
        <f t="shared" si="87"/>
        <v/>
      </c>
      <c r="M658" s="124" t="s">
        <v>65</v>
      </c>
      <c r="V658" s="117" t="str">
        <f t="shared" si="88"/>
        <v xml:space="preserve">   </v>
      </c>
    </row>
    <row r="659" spans="5:22">
      <c r="E659" s="118" t="s">
        <v>64</v>
      </c>
      <c r="F659" s="113" t="str">
        <f t="shared" si="82"/>
        <v>-</v>
      </c>
      <c r="G659" s="114" t="str">
        <f t="shared" si="83"/>
        <v/>
      </c>
      <c r="H659" s="114" t="str">
        <f t="shared" si="84"/>
        <v/>
      </c>
      <c r="I659" s="111" t="s">
        <v>65</v>
      </c>
      <c r="J659" s="113" t="str">
        <f t="shared" si="85"/>
        <v>-</v>
      </c>
      <c r="K659" s="113" t="str">
        <f t="shared" si="86"/>
        <v/>
      </c>
      <c r="L659" s="114" t="str">
        <f t="shared" si="87"/>
        <v/>
      </c>
      <c r="M659" s="124" t="s">
        <v>65</v>
      </c>
      <c r="V659" s="117" t="str">
        <f t="shared" si="88"/>
        <v xml:space="preserve">   </v>
      </c>
    </row>
    <row r="660" spans="5:22">
      <c r="E660" s="118" t="s">
        <v>64</v>
      </c>
      <c r="F660" s="113" t="str">
        <f t="shared" si="82"/>
        <v>-</v>
      </c>
      <c r="G660" s="114" t="str">
        <f t="shared" si="83"/>
        <v/>
      </c>
      <c r="H660" s="114" t="str">
        <f t="shared" si="84"/>
        <v/>
      </c>
      <c r="I660" s="111" t="s">
        <v>65</v>
      </c>
      <c r="J660" s="113" t="str">
        <f t="shared" si="85"/>
        <v>-</v>
      </c>
      <c r="K660" s="113" t="str">
        <f t="shared" si="86"/>
        <v/>
      </c>
      <c r="L660" s="114" t="str">
        <f t="shared" si="87"/>
        <v/>
      </c>
      <c r="M660" s="124" t="s">
        <v>65</v>
      </c>
      <c r="V660" s="117" t="str">
        <f t="shared" si="88"/>
        <v xml:space="preserve">   </v>
      </c>
    </row>
    <row r="661" spans="5:22">
      <c r="E661" s="118" t="s">
        <v>64</v>
      </c>
      <c r="F661" s="113" t="str">
        <f t="shared" si="82"/>
        <v>-</v>
      </c>
      <c r="G661" s="114" t="str">
        <f t="shared" si="83"/>
        <v/>
      </c>
      <c r="H661" s="114" t="str">
        <f t="shared" si="84"/>
        <v/>
      </c>
      <c r="I661" s="111" t="s">
        <v>65</v>
      </c>
      <c r="J661" s="113" t="str">
        <f t="shared" si="85"/>
        <v>-</v>
      </c>
      <c r="K661" s="113" t="str">
        <f t="shared" si="86"/>
        <v/>
      </c>
      <c r="L661" s="114" t="str">
        <f t="shared" si="87"/>
        <v/>
      </c>
      <c r="M661" s="124" t="s">
        <v>65</v>
      </c>
      <c r="V661" s="117" t="str">
        <f t="shared" si="88"/>
        <v xml:space="preserve">   </v>
      </c>
    </row>
    <row r="662" spans="5:22">
      <c r="E662" s="118" t="s">
        <v>64</v>
      </c>
      <c r="F662" s="113" t="str">
        <f t="shared" si="82"/>
        <v>-</v>
      </c>
      <c r="G662" s="114" t="str">
        <f t="shared" si="83"/>
        <v/>
      </c>
      <c r="H662" s="114" t="str">
        <f t="shared" si="84"/>
        <v/>
      </c>
      <c r="I662" s="111" t="s">
        <v>65</v>
      </c>
      <c r="J662" s="113" t="str">
        <f t="shared" si="85"/>
        <v>-</v>
      </c>
      <c r="K662" s="113" t="str">
        <f t="shared" si="86"/>
        <v/>
      </c>
      <c r="L662" s="114" t="str">
        <f t="shared" si="87"/>
        <v/>
      </c>
      <c r="M662" s="124" t="s">
        <v>65</v>
      </c>
      <c r="V662" s="117" t="str">
        <f t="shared" si="88"/>
        <v xml:space="preserve">   </v>
      </c>
    </row>
    <row r="663" spans="5:22">
      <c r="E663" s="118" t="s">
        <v>64</v>
      </c>
      <c r="F663" s="113" t="str">
        <f t="shared" si="82"/>
        <v>-</v>
      </c>
      <c r="G663" s="114" t="str">
        <f t="shared" si="83"/>
        <v/>
      </c>
      <c r="H663" s="114" t="str">
        <f t="shared" si="84"/>
        <v/>
      </c>
      <c r="I663" s="111" t="s">
        <v>65</v>
      </c>
      <c r="J663" s="113" t="str">
        <f t="shared" si="85"/>
        <v>-</v>
      </c>
      <c r="K663" s="113" t="str">
        <f t="shared" si="86"/>
        <v/>
      </c>
      <c r="L663" s="114" t="str">
        <f t="shared" si="87"/>
        <v/>
      </c>
      <c r="M663" s="124" t="s">
        <v>65</v>
      </c>
      <c r="V663" s="117" t="str">
        <f t="shared" si="88"/>
        <v xml:space="preserve">   </v>
      </c>
    </row>
    <row r="664" spans="5:22">
      <c r="E664" s="118" t="s">
        <v>64</v>
      </c>
      <c r="F664" s="113" t="str">
        <f t="shared" si="82"/>
        <v>-</v>
      </c>
      <c r="G664" s="114" t="str">
        <f t="shared" si="83"/>
        <v/>
      </c>
      <c r="H664" s="114" t="str">
        <f t="shared" si="84"/>
        <v/>
      </c>
      <c r="I664" s="111" t="s">
        <v>65</v>
      </c>
      <c r="J664" s="113" t="str">
        <f t="shared" si="85"/>
        <v>-</v>
      </c>
      <c r="K664" s="113" t="str">
        <f t="shared" si="86"/>
        <v/>
      </c>
      <c r="L664" s="114" t="str">
        <f t="shared" si="87"/>
        <v/>
      </c>
      <c r="M664" s="124" t="s">
        <v>65</v>
      </c>
      <c r="V664" s="117" t="str">
        <f t="shared" si="88"/>
        <v xml:space="preserve">   </v>
      </c>
    </row>
    <row r="665" spans="5:22">
      <c r="E665" s="118" t="s">
        <v>64</v>
      </c>
      <c r="F665" s="113" t="str">
        <f t="shared" si="82"/>
        <v>-</v>
      </c>
      <c r="G665" s="114" t="str">
        <f t="shared" si="83"/>
        <v/>
      </c>
      <c r="H665" s="114" t="str">
        <f t="shared" si="84"/>
        <v/>
      </c>
      <c r="I665" s="111" t="s">
        <v>65</v>
      </c>
      <c r="J665" s="113" t="str">
        <f t="shared" si="85"/>
        <v>-</v>
      </c>
      <c r="K665" s="113" t="str">
        <f t="shared" si="86"/>
        <v/>
      </c>
      <c r="L665" s="114" t="str">
        <f t="shared" si="87"/>
        <v/>
      </c>
      <c r="M665" s="124" t="s">
        <v>65</v>
      </c>
      <c r="V665" s="117" t="str">
        <f t="shared" si="88"/>
        <v xml:space="preserve">   </v>
      </c>
    </row>
    <row r="666" spans="5:22">
      <c r="E666" s="118" t="s">
        <v>64</v>
      </c>
      <c r="F666" s="113" t="str">
        <f t="shared" si="82"/>
        <v>-</v>
      </c>
      <c r="G666" s="114" t="str">
        <f t="shared" si="83"/>
        <v/>
      </c>
      <c r="H666" s="114" t="str">
        <f t="shared" si="84"/>
        <v/>
      </c>
      <c r="I666" s="111" t="s">
        <v>65</v>
      </c>
      <c r="J666" s="113" t="str">
        <f t="shared" si="85"/>
        <v>-</v>
      </c>
      <c r="K666" s="113" t="str">
        <f t="shared" si="86"/>
        <v/>
      </c>
      <c r="L666" s="114" t="str">
        <f t="shared" si="87"/>
        <v/>
      </c>
      <c r="M666" s="124" t="s">
        <v>65</v>
      </c>
      <c r="V666" s="117" t="str">
        <f t="shared" si="88"/>
        <v xml:space="preserve">   </v>
      </c>
    </row>
    <row r="667" spans="5:22">
      <c r="E667" s="118" t="s">
        <v>64</v>
      </c>
      <c r="F667" s="113" t="str">
        <f t="shared" si="82"/>
        <v>-</v>
      </c>
      <c r="G667" s="114" t="str">
        <f t="shared" si="83"/>
        <v/>
      </c>
      <c r="H667" s="114" t="str">
        <f t="shared" si="84"/>
        <v/>
      </c>
      <c r="I667" s="111" t="s">
        <v>65</v>
      </c>
      <c r="J667" s="113" t="str">
        <f t="shared" si="85"/>
        <v>-</v>
      </c>
      <c r="K667" s="113" t="str">
        <f t="shared" si="86"/>
        <v/>
      </c>
      <c r="L667" s="114" t="str">
        <f t="shared" si="87"/>
        <v/>
      </c>
      <c r="M667" s="124" t="s">
        <v>65</v>
      </c>
      <c r="V667" s="117" t="str">
        <f t="shared" si="88"/>
        <v xml:space="preserve">   </v>
      </c>
    </row>
    <row r="668" spans="5:22">
      <c r="E668" s="118" t="s">
        <v>64</v>
      </c>
      <c r="F668" s="113" t="str">
        <f t="shared" si="82"/>
        <v>-</v>
      </c>
      <c r="G668" s="114" t="str">
        <f t="shared" si="83"/>
        <v/>
      </c>
      <c r="H668" s="114" t="str">
        <f t="shared" si="84"/>
        <v/>
      </c>
      <c r="I668" s="111" t="s">
        <v>65</v>
      </c>
      <c r="J668" s="113" t="str">
        <f t="shared" si="85"/>
        <v>-</v>
      </c>
      <c r="K668" s="113" t="str">
        <f t="shared" si="86"/>
        <v/>
      </c>
      <c r="L668" s="114" t="str">
        <f t="shared" si="87"/>
        <v/>
      </c>
      <c r="M668" s="124" t="s">
        <v>65</v>
      </c>
      <c r="V668" s="117" t="str">
        <f t="shared" si="88"/>
        <v xml:space="preserve">   </v>
      </c>
    </row>
    <row r="669" spans="5:22">
      <c r="E669" s="118" t="s">
        <v>64</v>
      </c>
      <c r="F669" s="113" t="str">
        <f t="shared" si="82"/>
        <v>-</v>
      </c>
      <c r="G669" s="114" t="str">
        <f t="shared" si="83"/>
        <v/>
      </c>
      <c r="H669" s="114" t="str">
        <f t="shared" si="84"/>
        <v/>
      </c>
      <c r="I669" s="111" t="s">
        <v>65</v>
      </c>
      <c r="J669" s="113" t="str">
        <f t="shared" si="85"/>
        <v>-</v>
      </c>
      <c r="K669" s="113" t="str">
        <f t="shared" si="86"/>
        <v/>
      </c>
      <c r="L669" s="114" t="str">
        <f t="shared" si="87"/>
        <v/>
      </c>
      <c r="M669" s="124" t="s">
        <v>65</v>
      </c>
      <c r="V669" s="117" t="str">
        <f t="shared" si="88"/>
        <v xml:space="preserve">   </v>
      </c>
    </row>
    <row r="670" spans="5:22">
      <c r="E670" s="118" t="s">
        <v>64</v>
      </c>
      <c r="F670" s="113" t="str">
        <f t="shared" si="82"/>
        <v>-</v>
      </c>
      <c r="G670" s="114" t="str">
        <f t="shared" si="83"/>
        <v/>
      </c>
      <c r="H670" s="114" t="str">
        <f t="shared" si="84"/>
        <v/>
      </c>
      <c r="I670" s="111" t="s">
        <v>65</v>
      </c>
      <c r="J670" s="113" t="str">
        <f t="shared" si="85"/>
        <v>-</v>
      </c>
      <c r="K670" s="113" t="str">
        <f t="shared" si="86"/>
        <v/>
      </c>
      <c r="L670" s="114" t="str">
        <f t="shared" si="87"/>
        <v/>
      </c>
      <c r="M670" s="124" t="s">
        <v>65</v>
      </c>
      <c r="V670" s="117" t="str">
        <f t="shared" si="88"/>
        <v xml:space="preserve">   </v>
      </c>
    </row>
    <row r="671" spans="5:22">
      <c r="E671" s="118" t="s">
        <v>64</v>
      </c>
      <c r="F671" s="113" t="str">
        <f t="shared" si="82"/>
        <v>-</v>
      </c>
      <c r="G671" s="114" t="str">
        <f t="shared" si="83"/>
        <v/>
      </c>
      <c r="H671" s="114" t="str">
        <f t="shared" si="84"/>
        <v/>
      </c>
      <c r="I671" s="111" t="s">
        <v>65</v>
      </c>
      <c r="J671" s="113" t="str">
        <f t="shared" si="85"/>
        <v>-</v>
      </c>
      <c r="K671" s="113" t="str">
        <f t="shared" si="86"/>
        <v/>
      </c>
      <c r="L671" s="114" t="str">
        <f t="shared" si="87"/>
        <v/>
      </c>
      <c r="M671" s="124" t="s">
        <v>65</v>
      </c>
      <c r="V671" s="117" t="str">
        <f t="shared" si="88"/>
        <v xml:space="preserve">   </v>
      </c>
    </row>
    <row r="672" spans="5:22">
      <c r="E672" s="118" t="s">
        <v>64</v>
      </c>
      <c r="F672" s="113" t="str">
        <f t="shared" si="82"/>
        <v>-</v>
      </c>
      <c r="G672" s="114" t="str">
        <f t="shared" si="83"/>
        <v/>
      </c>
      <c r="H672" s="114" t="str">
        <f t="shared" si="84"/>
        <v/>
      </c>
      <c r="I672" s="111" t="s">
        <v>65</v>
      </c>
      <c r="J672" s="113" t="str">
        <f t="shared" si="85"/>
        <v>-</v>
      </c>
      <c r="K672" s="113" t="str">
        <f t="shared" si="86"/>
        <v/>
      </c>
      <c r="L672" s="114" t="str">
        <f t="shared" si="87"/>
        <v/>
      </c>
      <c r="M672" s="124" t="s">
        <v>65</v>
      </c>
      <c r="V672" s="117" t="str">
        <f t="shared" si="88"/>
        <v xml:space="preserve">   </v>
      </c>
    </row>
    <row r="673" spans="5:22">
      <c r="E673" s="118" t="s">
        <v>64</v>
      </c>
      <c r="F673" s="113" t="str">
        <f t="shared" si="82"/>
        <v>-</v>
      </c>
      <c r="G673" s="114" t="str">
        <f t="shared" si="83"/>
        <v/>
      </c>
      <c r="H673" s="114" t="str">
        <f t="shared" si="84"/>
        <v/>
      </c>
      <c r="I673" s="111" t="s">
        <v>65</v>
      </c>
      <c r="J673" s="113" t="str">
        <f t="shared" si="85"/>
        <v>-</v>
      </c>
      <c r="K673" s="113" t="str">
        <f t="shared" si="86"/>
        <v/>
      </c>
      <c r="L673" s="114" t="str">
        <f t="shared" si="87"/>
        <v/>
      </c>
      <c r="M673" s="124" t="s">
        <v>65</v>
      </c>
      <c r="V673" s="117" t="str">
        <f t="shared" si="88"/>
        <v xml:space="preserve">   </v>
      </c>
    </row>
    <row r="674" spans="5:22">
      <c r="E674" s="118" t="s">
        <v>64</v>
      </c>
      <c r="F674" s="113" t="str">
        <f t="shared" si="82"/>
        <v>-</v>
      </c>
      <c r="G674" s="114" t="str">
        <f t="shared" si="83"/>
        <v/>
      </c>
      <c r="H674" s="114" t="str">
        <f t="shared" si="84"/>
        <v/>
      </c>
      <c r="I674" s="111" t="s">
        <v>65</v>
      </c>
      <c r="J674" s="113" t="str">
        <f t="shared" si="85"/>
        <v>-</v>
      </c>
      <c r="K674" s="113" t="str">
        <f t="shared" si="86"/>
        <v/>
      </c>
      <c r="L674" s="114" t="str">
        <f t="shared" si="87"/>
        <v/>
      </c>
      <c r="M674" s="124" t="s">
        <v>65</v>
      </c>
      <c r="V674" s="117" t="str">
        <f t="shared" si="88"/>
        <v xml:space="preserve">   </v>
      </c>
    </row>
    <row r="675" spans="5:22">
      <c r="E675" s="118" t="s">
        <v>64</v>
      </c>
      <c r="F675" s="113" t="str">
        <f t="shared" si="82"/>
        <v>-</v>
      </c>
      <c r="G675" s="114" t="str">
        <f t="shared" si="83"/>
        <v/>
      </c>
      <c r="H675" s="114" t="str">
        <f t="shared" si="84"/>
        <v/>
      </c>
      <c r="I675" s="111" t="s">
        <v>65</v>
      </c>
      <c r="J675" s="113" t="str">
        <f t="shared" si="85"/>
        <v>-</v>
      </c>
      <c r="K675" s="113" t="str">
        <f t="shared" si="86"/>
        <v/>
      </c>
      <c r="L675" s="114" t="str">
        <f t="shared" si="87"/>
        <v/>
      </c>
      <c r="M675" s="124" t="s">
        <v>65</v>
      </c>
      <c r="V675" s="117" t="str">
        <f t="shared" si="88"/>
        <v xml:space="preserve">   </v>
      </c>
    </row>
    <row r="676" spans="5:22">
      <c r="E676" s="118" t="s">
        <v>64</v>
      </c>
      <c r="F676" s="113" t="str">
        <f t="shared" si="82"/>
        <v>-</v>
      </c>
      <c r="G676" s="114" t="str">
        <f t="shared" si="83"/>
        <v/>
      </c>
      <c r="H676" s="114" t="str">
        <f t="shared" si="84"/>
        <v/>
      </c>
      <c r="I676" s="111" t="s">
        <v>65</v>
      </c>
      <c r="J676" s="113" t="str">
        <f t="shared" si="85"/>
        <v>-</v>
      </c>
      <c r="K676" s="113" t="str">
        <f t="shared" si="86"/>
        <v/>
      </c>
      <c r="L676" s="114" t="str">
        <f t="shared" si="87"/>
        <v/>
      </c>
      <c r="M676" s="124" t="s">
        <v>65</v>
      </c>
      <c r="V676" s="117" t="str">
        <f t="shared" si="88"/>
        <v xml:space="preserve">   </v>
      </c>
    </row>
    <row r="677" spans="5:22">
      <c r="E677" s="118" t="s">
        <v>64</v>
      </c>
      <c r="F677" s="113" t="str">
        <f t="shared" si="82"/>
        <v>-</v>
      </c>
      <c r="G677" s="114" t="str">
        <f t="shared" si="83"/>
        <v/>
      </c>
      <c r="H677" s="114" t="str">
        <f t="shared" si="84"/>
        <v/>
      </c>
      <c r="I677" s="111" t="s">
        <v>65</v>
      </c>
      <c r="J677" s="113" t="str">
        <f t="shared" si="85"/>
        <v>-</v>
      </c>
      <c r="K677" s="113" t="str">
        <f t="shared" si="86"/>
        <v/>
      </c>
      <c r="L677" s="114" t="str">
        <f t="shared" si="87"/>
        <v/>
      </c>
      <c r="M677" s="124" t="s">
        <v>65</v>
      </c>
      <c r="V677" s="117" t="str">
        <f t="shared" si="88"/>
        <v xml:space="preserve">   </v>
      </c>
    </row>
    <row r="678" spans="5:22">
      <c r="E678" s="118" t="s">
        <v>64</v>
      </c>
      <c r="F678" s="113" t="str">
        <f t="shared" si="82"/>
        <v>-</v>
      </c>
      <c r="G678" s="114" t="str">
        <f t="shared" si="83"/>
        <v/>
      </c>
      <c r="H678" s="114" t="str">
        <f t="shared" si="84"/>
        <v/>
      </c>
      <c r="I678" s="111" t="s">
        <v>65</v>
      </c>
      <c r="J678" s="113" t="str">
        <f t="shared" si="85"/>
        <v>-</v>
      </c>
      <c r="K678" s="113" t="str">
        <f t="shared" si="86"/>
        <v/>
      </c>
      <c r="L678" s="114" t="str">
        <f t="shared" si="87"/>
        <v/>
      </c>
      <c r="M678" s="124" t="s">
        <v>65</v>
      </c>
      <c r="V678" s="117" t="str">
        <f t="shared" si="88"/>
        <v xml:space="preserve">   </v>
      </c>
    </row>
    <row r="679" spans="5:22">
      <c r="E679" s="118" t="s">
        <v>64</v>
      </c>
      <c r="F679" s="113" t="str">
        <f t="shared" si="82"/>
        <v>-</v>
      </c>
      <c r="G679" s="114" t="str">
        <f t="shared" si="83"/>
        <v/>
      </c>
      <c r="H679" s="114" t="str">
        <f t="shared" si="84"/>
        <v/>
      </c>
      <c r="I679" s="111" t="s">
        <v>65</v>
      </c>
      <c r="J679" s="113" t="str">
        <f t="shared" si="85"/>
        <v>-</v>
      </c>
      <c r="K679" s="113" t="str">
        <f t="shared" si="86"/>
        <v/>
      </c>
      <c r="L679" s="114" t="str">
        <f t="shared" si="87"/>
        <v/>
      </c>
      <c r="M679" s="124" t="s">
        <v>65</v>
      </c>
      <c r="V679" s="117" t="str">
        <f t="shared" si="88"/>
        <v xml:space="preserve">   </v>
      </c>
    </row>
    <row r="680" spans="5:22">
      <c r="E680" s="118" t="s">
        <v>64</v>
      </c>
      <c r="F680" s="113" t="str">
        <f t="shared" si="82"/>
        <v>-</v>
      </c>
      <c r="G680" s="114" t="str">
        <f t="shared" si="83"/>
        <v/>
      </c>
      <c r="H680" s="114" t="str">
        <f t="shared" si="84"/>
        <v/>
      </c>
      <c r="I680" s="111" t="s">
        <v>65</v>
      </c>
      <c r="J680" s="113" t="str">
        <f t="shared" si="85"/>
        <v>-</v>
      </c>
      <c r="K680" s="113" t="str">
        <f t="shared" si="86"/>
        <v/>
      </c>
      <c r="L680" s="114" t="str">
        <f t="shared" si="87"/>
        <v/>
      </c>
      <c r="M680" s="124" t="s">
        <v>65</v>
      </c>
      <c r="V680" s="117" t="str">
        <f t="shared" si="88"/>
        <v xml:space="preserve">   </v>
      </c>
    </row>
    <row r="681" spans="5:22">
      <c r="E681" s="118" t="s">
        <v>64</v>
      </c>
      <c r="F681" s="113" t="str">
        <f t="shared" si="82"/>
        <v>-</v>
      </c>
      <c r="G681" s="114" t="str">
        <f t="shared" si="83"/>
        <v/>
      </c>
      <c r="H681" s="114" t="str">
        <f t="shared" si="84"/>
        <v/>
      </c>
      <c r="I681" s="111" t="s">
        <v>65</v>
      </c>
      <c r="J681" s="113" t="str">
        <f t="shared" si="85"/>
        <v>-</v>
      </c>
      <c r="K681" s="113" t="str">
        <f t="shared" si="86"/>
        <v/>
      </c>
      <c r="L681" s="114" t="str">
        <f t="shared" si="87"/>
        <v/>
      </c>
      <c r="M681" s="124" t="s">
        <v>65</v>
      </c>
      <c r="V681" s="117" t="str">
        <f t="shared" si="88"/>
        <v xml:space="preserve">   </v>
      </c>
    </row>
    <row r="682" spans="5:22">
      <c r="E682" s="118" t="s">
        <v>64</v>
      </c>
      <c r="F682" s="113" t="str">
        <f t="shared" si="82"/>
        <v>-</v>
      </c>
      <c r="G682" s="114" t="str">
        <f t="shared" si="83"/>
        <v/>
      </c>
      <c r="H682" s="114" t="str">
        <f t="shared" si="84"/>
        <v/>
      </c>
      <c r="I682" s="111" t="s">
        <v>65</v>
      </c>
      <c r="J682" s="113" t="str">
        <f t="shared" si="85"/>
        <v>-</v>
      </c>
      <c r="K682" s="113" t="str">
        <f t="shared" si="86"/>
        <v/>
      </c>
      <c r="L682" s="114" t="str">
        <f t="shared" si="87"/>
        <v/>
      </c>
      <c r="M682" s="124" t="s">
        <v>65</v>
      </c>
      <c r="V682" s="117" t="str">
        <f t="shared" si="88"/>
        <v xml:space="preserve">   </v>
      </c>
    </row>
    <row r="683" spans="5:22">
      <c r="E683" s="118" t="s">
        <v>64</v>
      </c>
      <c r="F683" s="113" t="str">
        <f t="shared" si="82"/>
        <v>-</v>
      </c>
      <c r="G683" s="114" t="str">
        <f t="shared" si="83"/>
        <v/>
      </c>
      <c r="H683" s="114" t="str">
        <f t="shared" si="84"/>
        <v/>
      </c>
      <c r="I683" s="111" t="s">
        <v>65</v>
      </c>
      <c r="J683" s="113" t="str">
        <f t="shared" si="85"/>
        <v>-</v>
      </c>
      <c r="K683" s="113" t="str">
        <f t="shared" si="86"/>
        <v/>
      </c>
      <c r="L683" s="114" t="str">
        <f t="shared" si="87"/>
        <v/>
      </c>
      <c r="M683" s="124" t="s">
        <v>65</v>
      </c>
      <c r="V683" s="117" t="str">
        <f t="shared" si="88"/>
        <v xml:space="preserve">   </v>
      </c>
    </row>
    <row r="684" spans="5:22">
      <c r="E684" s="118" t="s">
        <v>64</v>
      </c>
      <c r="F684" s="113" t="str">
        <f t="shared" si="82"/>
        <v>-</v>
      </c>
      <c r="G684" s="114" t="str">
        <f t="shared" si="83"/>
        <v/>
      </c>
      <c r="H684" s="114" t="str">
        <f t="shared" si="84"/>
        <v/>
      </c>
      <c r="I684" s="111" t="s">
        <v>65</v>
      </c>
      <c r="J684" s="113" t="str">
        <f t="shared" si="85"/>
        <v>-</v>
      </c>
      <c r="K684" s="113" t="str">
        <f t="shared" si="86"/>
        <v/>
      </c>
      <c r="L684" s="114" t="str">
        <f t="shared" si="87"/>
        <v/>
      </c>
      <c r="M684" s="124" t="s">
        <v>65</v>
      </c>
      <c r="V684" s="117" t="str">
        <f t="shared" si="88"/>
        <v xml:space="preserve">   </v>
      </c>
    </row>
    <row r="685" spans="5:22">
      <c r="E685" s="118" t="s">
        <v>64</v>
      </c>
      <c r="F685" s="113" t="str">
        <f t="shared" si="82"/>
        <v>-</v>
      </c>
      <c r="G685" s="114" t="str">
        <f t="shared" si="83"/>
        <v/>
      </c>
      <c r="H685" s="114" t="str">
        <f t="shared" si="84"/>
        <v/>
      </c>
      <c r="I685" s="111" t="s">
        <v>65</v>
      </c>
      <c r="J685" s="113" t="str">
        <f t="shared" si="85"/>
        <v>-</v>
      </c>
      <c r="K685" s="113" t="str">
        <f t="shared" si="86"/>
        <v/>
      </c>
      <c r="L685" s="114" t="str">
        <f t="shared" si="87"/>
        <v/>
      </c>
      <c r="M685" s="124" t="s">
        <v>65</v>
      </c>
      <c r="V685" s="117" t="str">
        <f t="shared" si="88"/>
        <v xml:space="preserve">   </v>
      </c>
    </row>
    <row r="686" spans="5:22">
      <c r="E686" s="118" t="s">
        <v>64</v>
      </c>
      <c r="F686" s="113" t="str">
        <f t="shared" si="82"/>
        <v>-</v>
      </c>
      <c r="G686" s="114" t="str">
        <f t="shared" si="83"/>
        <v/>
      </c>
      <c r="H686" s="114" t="str">
        <f t="shared" si="84"/>
        <v/>
      </c>
      <c r="I686" s="111" t="s">
        <v>65</v>
      </c>
      <c r="J686" s="113" t="str">
        <f t="shared" si="85"/>
        <v>-</v>
      </c>
      <c r="K686" s="113" t="str">
        <f t="shared" si="86"/>
        <v/>
      </c>
      <c r="L686" s="114" t="str">
        <f t="shared" si="87"/>
        <v/>
      </c>
      <c r="M686" s="124" t="s">
        <v>65</v>
      </c>
      <c r="V686" s="117" t="str">
        <f t="shared" si="88"/>
        <v xml:space="preserve">   </v>
      </c>
    </row>
    <row r="687" spans="5:22">
      <c r="E687" s="118" t="s">
        <v>64</v>
      </c>
      <c r="F687" s="113" t="str">
        <f t="shared" si="82"/>
        <v>-</v>
      </c>
      <c r="G687" s="114" t="str">
        <f t="shared" si="83"/>
        <v/>
      </c>
      <c r="H687" s="114" t="str">
        <f t="shared" si="84"/>
        <v/>
      </c>
      <c r="I687" s="111" t="s">
        <v>65</v>
      </c>
      <c r="J687" s="113" t="str">
        <f t="shared" si="85"/>
        <v>-</v>
      </c>
      <c r="K687" s="113" t="str">
        <f t="shared" si="86"/>
        <v/>
      </c>
      <c r="L687" s="114" t="str">
        <f t="shared" si="87"/>
        <v/>
      </c>
      <c r="M687" s="124" t="s">
        <v>65</v>
      </c>
      <c r="V687" s="117" t="str">
        <f t="shared" si="88"/>
        <v xml:space="preserve">   </v>
      </c>
    </row>
    <row r="688" spans="5:22">
      <c r="E688" s="118" t="s">
        <v>64</v>
      </c>
      <c r="F688" s="113" t="str">
        <f t="shared" si="82"/>
        <v>-</v>
      </c>
      <c r="G688" s="114" t="str">
        <f t="shared" si="83"/>
        <v/>
      </c>
      <c r="H688" s="114" t="str">
        <f t="shared" si="84"/>
        <v/>
      </c>
      <c r="I688" s="111" t="s">
        <v>65</v>
      </c>
      <c r="J688" s="113" t="str">
        <f t="shared" si="85"/>
        <v>-</v>
      </c>
      <c r="K688" s="113" t="str">
        <f t="shared" si="86"/>
        <v/>
      </c>
      <c r="L688" s="114" t="str">
        <f t="shared" si="87"/>
        <v/>
      </c>
      <c r="M688" s="124" t="s">
        <v>65</v>
      </c>
      <c r="V688" s="117" t="str">
        <f t="shared" si="88"/>
        <v xml:space="preserve">   </v>
      </c>
    </row>
    <row r="689" spans="5:22">
      <c r="E689" s="118" t="s">
        <v>64</v>
      </c>
      <c r="F689" s="113" t="str">
        <f t="shared" si="82"/>
        <v>-</v>
      </c>
      <c r="G689" s="114" t="str">
        <f t="shared" si="83"/>
        <v/>
      </c>
      <c r="H689" s="114" t="str">
        <f t="shared" si="84"/>
        <v/>
      </c>
      <c r="I689" s="111" t="s">
        <v>65</v>
      </c>
      <c r="J689" s="113" t="str">
        <f t="shared" si="85"/>
        <v>-</v>
      </c>
      <c r="K689" s="113" t="str">
        <f t="shared" si="86"/>
        <v/>
      </c>
      <c r="L689" s="114" t="str">
        <f t="shared" si="87"/>
        <v/>
      </c>
      <c r="M689" s="124" t="s">
        <v>65</v>
      </c>
      <c r="V689" s="117" t="str">
        <f t="shared" si="88"/>
        <v xml:space="preserve">   </v>
      </c>
    </row>
    <row r="690" spans="5:22">
      <c r="E690" s="118" t="s">
        <v>64</v>
      </c>
      <c r="F690" s="113" t="str">
        <f t="shared" si="82"/>
        <v>-</v>
      </c>
      <c r="G690" s="114" t="str">
        <f t="shared" si="83"/>
        <v/>
      </c>
      <c r="H690" s="114" t="str">
        <f t="shared" si="84"/>
        <v/>
      </c>
      <c r="I690" s="111" t="s">
        <v>65</v>
      </c>
      <c r="J690" s="113" t="str">
        <f t="shared" si="85"/>
        <v>-</v>
      </c>
      <c r="K690" s="113" t="str">
        <f t="shared" si="86"/>
        <v/>
      </c>
      <c r="L690" s="114" t="str">
        <f t="shared" si="87"/>
        <v/>
      </c>
      <c r="M690" s="124" t="s">
        <v>65</v>
      </c>
      <c r="V690" s="117" t="str">
        <f t="shared" si="88"/>
        <v xml:space="preserve">   </v>
      </c>
    </row>
    <row r="691" spans="5:22">
      <c r="E691" s="118" t="s">
        <v>64</v>
      </c>
      <c r="F691" s="113" t="str">
        <f t="shared" si="82"/>
        <v>-</v>
      </c>
      <c r="G691" s="114" t="str">
        <f t="shared" si="83"/>
        <v/>
      </c>
      <c r="H691" s="114" t="str">
        <f t="shared" si="84"/>
        <v/>
      </c>
      <c r="I691" s="111" t="s">
        <v>65</v>
      </c>
      <c r="J691" s="113" t="str">
        <f t="shared" si="85"/>
        <v>-</v>
      </c>
      <c r="K691" s="113" t="str">
        <f t="shared" si="86"/>
        <v/>
      </c>
      <c r="L691" s="114" t="str">
        <f t="shared" si="87"/>
        <v/>
      </c>
      <c r="M691" s="124" t="s">
        <v>65</v>
      </c>
      <c r="V691" s="117" t="str">
        <f t="shared" si="88"/>
        <v xml:space="preserve">   </v>
      </c>
    </row>
    <row r="692" spans="5:22">
      <c r="E692" s="118" t="s">
        <v>64</v>
      </c>
      <c r="F692" s="113" t="str">
        <f t="shared" si="82"/>
        <v>-</v>
      </c>
      <c r="G692" s="114" t="str">
        <f t="shared" si="83"/>
        <v/>
      </c>
      <c r="H692" s="114" t="str">
        <f t="shared" si="84"/>
        <v/>
      </c>
      <c r="I692" s="111" t="s">
        <v>65</v>
      </c>
      <c r="J692" s="113" t="str">
        <f t="shared" si="85"/>
        <v>-</v>
      </c>
      <c r="K692" s="113" t="str">
        <f t="shared" si="86"/>
        <v/>
      </c>
      <c r="L692" s="114" t="str">
        <f t="shared" si="87"/>
        <v/>
      </c>
      <c r="M692" s="124" t="s">
        <v>65</v>
      </c>
      <c r="V692" s="117" t="str">
        <f t="shared" si="88"/>
        <v xml:space="preserve">   </v>
      </c>
    </row>
    <row r="693" spans="5:22">
      <c r="E693" s="118" t="s">
        <v>64</v>
      </c>
      <c r="F693" s="113" t="str">
        <f t="shared" ref="F693:F700" si="89">IFERROR(INDEX(A693,MATCH(E693&amp;"*",A693,)),"-")</f>
        <v>-</v>
      </c>
      <c r="G693" s="114" t="str">
        <f t="shared" ref="G693:G700" si="90">IF(F693="-","",LEFT(F693,6))</f>
        <v/>
      </c>
      <c r="H693" s="114" t="str">
        <f t="shared" ref="H693:H700" si="91">MID(F693,8,50)</f>
        <v/>
      </c>
      <c r="I693" s="111" t="s">
        <v>65</v>
      </c>
      <c r="J693" s="113" t="str">
        <f t="shared" ref="J693:J700" si="92">IF(F693="-","-",LEFT(F693,6))</f>
        <v>-</v>
      </c>
      <c r="K693" s="113" t="str">
        <f t="shared" ref="K693:K700" si="93">I693</f>
        <v/>
      </c>
      <c r="L693" s="114" t="str">
        <f t="shared" ref="L693:L700" si="94">IF(F693="-","",B693)</f>
        <v/>
      </c>
      <c r="M693" s="124" t="s">
        <v>65</v>
      </c>
      <c r="V693" s="117" t="str">
        <f t="shared" si="88"/>
        <v xml:space="preserve">   </v>
      </c>
    </row>
    <row r="694" spans="5:22">
      <c r="E694" s="118" t="s">
        <v>64</v>
      </c>
      <c r="F694" s="113" t="str">
        <f t="shared" si="89"/>
        <v>-</v>
      </c>
      <c r="G694" s="114" t="str">
        <f t="shared" si="90"/>
        <v/>
      </c>
      <c r="H694" s="114" t="str">
        <f t="shared" si="91"/>
        <v/>
      </c>
      <c r="I694" s="111" t="s">
        <v>65</v>
      </c>
      <c r="J694" s="113" t="str">
        <f t="shared" si="92"/>
        <v>-</v>
      </c>
      <c r="K694" s="113" t="str">
        <f t="shared" si="93"/>
        <v/>
      </c>
      <c r="L694" s="114" t="str">
        <f t="shared" si="94"/>
        <v/>
      </c>
      <c r="M694" s="124" t="s">
        <v>65</v>
      </c>
      <c r="V694" s="117" t="str">
        <f t="shared" si="88"/>
        <v xml:space="preserve">   </v>
      </c>
    </row>
    <row r="695" spans="5:22">
      <c r="E695" s="118" t="s">
        <v>64</v>
      </c>
      <c r="F695" s="113" t="str">
        <f t="shared" si="89"/>
        <v>-</v>
      </c>
      <c r="G695" s="114" t="str">
        <f t="shared" si="90"/>
        <v/>
      </c>
      <c r="H695" s="114" t="str">
        <f t="shared" si="91"/>
        <v/>
      </c>
      <c r="I695" s="111" t="s">
        <v>65</v>
      </c>
      <c r="J695" s="113" t="str">
        <f t="shared" si="92"/>
        <v>-</v>
      </c>
      <c r="K695" s="113" t="str">
        <f t="shared" si="93"/>
        <v/>
      </c>
      <c r="L695" s="114" t="str">
        <f t="shared" si="94"/>
        <v/>
      </c>
      <c r="M695" s="124" t="s">
        <v>65</v>
      </c>
      <c r="V695" s="117" t="str">
        <f t="shared" si="88"/>
        <v xml:space="preserve">   </v>
      </c>
    </row>
    <row r="696" spans="5:22">
      <c r="E696" s="118" t="s">
        <v>64</v>
      </c>
      <c r="F696" s="113" t="str">
        <f t="shared" si="89"/>
        <v>-</v>
      </c>
      <c r="G696" s="114" t="str">
        <f t="shared" si="90"/>
        <v/>
      </c>
      <c r="H696" s="114" t="str">
        <f t="shared" si="91"/>
        <v/>
      </c>
      <c r="I696" s="111" t="s">
        <v>65</v>
      </c>
      <c r="J696" s="113" t="str">
        <f t="shared" si="92"/>
        <v>-</v>
      </c>
      <c r="K696" s="113" t="str">
        <f t="shared" si="93"/>
        <v/>
      </c>
      <c r="L696" s="114" t="str">
        <f t="shared" si="94"/>
        <v/>
      </c>
      <c r="M696" s="124" t="s">
        <v>65</v>
      </c>
      <c r="V696" s="117" t="str">
        <f t="shared" si="88"/>
        <v xml:space="preserve">   </v>
      </c>
    </row>
    <row r="697" spans="5:22">
      <c r="E697" s="118" t="s">
        <v>64</v>
      </c>
      <c r="F697" s="113" t="str">
        <f t="shared" si="89"/>
        <v>-</v>
      </c>
      <c r="G697" s="114" t="str">
        <f t="shared" si="90"/>
        <v/>
      </c>
      <c r="H697" s="114" t="str">
        <f t="shared" si="91"/>
        <v/>
      </c>
      <c r="I697" s="111" t="s">
        <v>65</v>
      </c>
      <c r="J697" s="113" t="str">
        <f t="shared" si="92"/>
        <v>-</v>
      </c>
      <c r="K697" s="113" t="str">
        <f t="shared" si="93"/>
        <v/>
      </c>
      <c r="L697" s="114" t="str">
        <f t="shared" si="94"/>
        <v/>
      </c>
      <c r="M697" s="124" t="s">
        <v>65</v>
      </c>
      <c r="V697" s="117" t="str">
        <f t="shared" si="88"/>
        <v xml:space="preserve">   </v>
      </c>
    </row>
    <row r="698" spans="5:22">
      <c r="E698" s="118" t="s">
        <v>64</v>
      </c>
      <c r="F698" s="113" t="str">
        <f t="shared" si="89"/>
        <v>-</v>
      </c>
      <c r="G698" s="114" t="str">
        <f t="shared" si="90"/>
        <v/>
      </c>
      <c r="H698" s="114" t="str">
        <f t="shared" si="91"/>
        <v/>
      </c>
      <c r="I698" s="111" t="s">
        <v>65</v>
      </c>
      <c r="J698" s="113" t="str">
        <f t="shared" si="92"/>
        <v>-</v>
      </c>
      <c r="K698" s="113" t="str">
        <f t="shared" si="93"/>
        <v/>
      </c>
      <c r="L698" s="114" t="str">
        <f t="shared" si="94"/>
        <v/>
      </c>
      <c r="M698" s="124" t="s">
        <v>65</v>
      </c>
      <c r="V698" s="117" t="str">
        <f t="shared" si="88"/>
        <v xml:space="preserve">   </v>
      </c>
    </row>
    <row r="699" spans="5:22">
      <c r="E699" s="118" t="s">
        <v>64</v>
      </c>
      <c r="F699" s="113" t="str">
        <f t="shared" si="89"/>
        <v>-</v>
      </c>
      <c r="G699" s="114" t="str">
        <f t="shared" si="90"/>
        <v/>
      </c>
      <c r="H699" s="114" t="str">
        <f t="shared" si="91"/>
        <v/>
      </c>
      <c r="I699" s="111" t="s">
        <v>65</v>
      </c>
      <c r="J699" s="113" t="str">
        <f t="shared" si="92"/>
        <v>-</v>
      </c>
      <c r="K699" s="113" t="str">
        <f t="shared" si="93"/>
        <v/>
      </c>
      <c r="L699" s="114" t="str">
        <f t="shared" si="94"/>
        <v/>
      </c>
      <c r="M699" s="124" t="s">
        <v>65</v>
      </c>
      <c r="V699" s="117" t="str">
        <f t="shared" si="88"/>
        <v xml:space="preserve">   </v>
      </c>
    </row>
    <row r="700" spans="5:22">
      <c r="E700" s="118" t="s">
        <v>64</v>
      </c>
      <c r="F700" s="113" t="str">
        <f t="shared" si="89"/>
        <v>-</v>
      </c>
      <c r="G700" s="114" t="str">
        <f t="shared" si="90"/>
        <v/>
      </c>
      <c r="H700" s="114" t="str">
        <f t="shared" si="91"/>
        <v/>
      </c>
      <c r="I700" s="111" t="s">
        <v>65</v>
      </c>
      <c r="J700" s="113" t="str">
        <f t="shared" si="92"/>
        <v>-</v>
      </c>
      <c r="K700" s="113" t="str">
        <f t="shared" si="93"/>
        <v/>
      </c>
      <c r="L700" s="114" t="str">
        <f t="shared" si="94"/>
        <v/>
      </c>
      <c r="M700" s="124" t="s">
        <v>65</v>
      </c>
      <c r="V700" s="117" t="str">
        <f t="shared" si="88"/>
        <v xml:space="preserve">   </v>
      </c>
    </row>
  </sheetData>
  <sheetProtection sheet="1" objects="1" scenarios="1" formatCells="0" formatColumns="0" formatRows="0"/>
  <mergeCells count="2">
    <mergeCell ref="B1:L1"/>
    <mergeCell ref="B2:L2"/>
  </mergeCells>
  <pageMargins left="0.7" right="0.7" top="0.75" bottom="0.75" header="0.3" footer="0.3"/>
  <drawing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D1"/>
  <sheetViews>
    <sheetView workbookViewId="0">
      <selection activeCell="A4" sqref="A4"/>
    </sheetView>
  </sheetViews>
  <sheetFormatPr defaultColWidth="9.140625" defaultRowHeight="15"/>
  <cols>
    <col min="1" max="1" width="9.140625" style="21"/>
    <col min="2" max="2" width="9.140625" style="22"/>
    <col min="3" max="3" width="21.85546875" style="17" bestFit="1" customWidth="1"/>
    <col min="4" max="4" width="12.140625" style="17" bestFit="1" customWidth="1"/>
  </cols>
  <sheetData>
    <row r="1" spans="1:4">
      <c r="A1" s="19" t="s">
        <v>67</v>
      </c>
      <c r="B1" s="20" t="s">
        <v>66</v>
      </c>
      <c r="C1" s="18" t="s">
        <v>68</v>
      </c>
      <c r="D1" s="18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1"/>
  </sheetPr>
  <dimension ref="A1:W83"/>
  <sheetViews>
    <sheetView showGridLines="0" workbookViewId="0"/>
  </sheetViews>
  <sheetFormatPr defaultColWidth="9.140625" defaultRowHeight="15"/>
  <cols>
    <col min="1" max="1" width="17.7109375" style="21" customWidth="1"/>
    <col min="2" max="2" width="6.5703125" style="21" bestFit="1" customWidth="1"/>
    <col min="3" max="3" width="11.85546875" bestFit="1" customWidth="1"/>
    <col min="4" max="4" width="13.85546875" bestFit="1" customWidth="1"/>
    <col min="5" max="5" width="15.28515625" bestFit="1" customWidth="1"/>
    <col min="15" max="15" width="10.85546875" style="134" hidden="1" customWidth="1"/>
    <col min="16" max="16" width="8.42578125" style="134" hidden="1" customWidth="1"/>
    <col min="17" max="17" width="4.28515625" style="134" hidden="1" customWidth="1"/>
    <col min="18" max="18" width="7.85546875" style="134" hidden="1" customWidth="1"/>
    <col min="19" max="19" width="3" style="134" hidden="1" customWidth="1"/>
    <col min="20" max="20" width="5.140625" style="134" hidden="1" customWidth="1"/>
    <col min="21" max="21" width="5" hidden="1" customWidth="1"/>
    <col min="22" max="22" width="7.85546875" hidden="1" customWidth="1"/>
    <col min="23" max="23" width="5" hidden="1" customWidth="1"/>
  </cols>
  <sheetData>
    <row r="1" spans="1:23" ht="30">
      <c r="A1" s="24" t="s">
        <v>70</v>
      </c>
      <c r="B1" s="25">
        <f>MAX(A3:A66)</f>
        <v>0</v>
      </c>
      <c r="C1" s="24" t="s">
        <v>101</v>
      </c>
      <c r="D1" s="141">
        <f>DATEVALUE(O1)</f>
        <v>41575</v>
      </c>
      <c r="J1" s="137"/>
      <c r="O1" s="140" t="str">
        <f>CONCATENATE(T1,"/",P1,"/",W1)</f>
        <v>28/10/2013</v>
      </c>
      <c r="P1" s="134">
        <f>SUM(P3:P14)</f>
        <v>10</v>
      </c>
      <c r="T1" s="134">
        <f>SUM(T3:T82)</f>
        <v>28</v>
      </c>
      <c r="W1">
        <f>SUM(W3:W9)</f>
        <v>2013</v>
      </c>
    </row>
    <row r="2" spans="1:23">
      <c r="A2" s="19" t="s">
        <v>67</v>
      </c>
      <c r="B2" s="20" t="s">
        <v>66</v>
      </c>
      <c r="C2" s="18" t="s">
        <v>68</v>
      </c>
      <c r="D2" s="18" t="s">
        <v>69</v>
      </c>
      <c r="E2" s="18" t="s">
        <v>71</v>
      </c>
      <c r="O2" s="135" t="s">
        <v>84</v>
      </c>
      <c r="P2" s="135" t="s">
        <v>97</v>
      </c>
      <c r="Q2" s="135" t="s">
        <v>98</v>
      </c>
      <c r="R2" s="135" t="s">
        <v>100</v>
      </c>
      <c r="S2" s="135"/>
      <c r="T2" s="135" t="s">
        <v>7</v>
      </c>
      <c r="U2" s="135" t="s">
        <v>99</v>
      </c>
      <c r="V2" s="135" t="s">
        <v>100</v>
      </c>
      <c r="W2" s="135" t="s">
        <v>99</v>
      </c>
    </row>
    <row r="3" spans="1:23">
      <c r="A3" s="23" t="str">
        <f>IF(ISBLANK(B3),"-",1)</f>
        <v>-</v>
      </c>
      <c r="B3" s="121"/>
      <c r="C3" s="122"/>
      <c r="D3" s="122"/>
      <c r="E3" s="122"/>
      <c r="O3" s="136" t="s">
        <v>85</v>
      </c>
      <c r="P3" s="136" t="str">
        <f>IFERROR(IF(FIND(O3,'PDF Information'!$F$9)&gt;0,1,""),"")</f>
        <v/>
      </c>
      <c r="Q3" s="136">
        <v>1</v>
      </c>
      <c r="R3" s="136" t="str">
        <f>IFERROR(IF(FIND(" 1 ",'PDF Information'!$F$9)&gt;0,1,""),"")</f>
        <v/>
      </c>
      <c r="S3" s="136"/>
      <c r="T3" s="136" t="str">
        <f t="shared" ref="T3:T42" si="0">IF(R3="","",Q3*R3)</f>
        <v/>
      </c>
      <c r="U3" s="136">
        <v>2013</v>
      </c>
      <c r="V3" s="136">
        <f>IFERROR(IF(FIND(U3,'PDF Information'!$F$9)&gt;0,1,""),"")</f>
        <v>1</v>
      </c>
      <c r="W3" s="136">
        <f>IF(V3="","",V3*U3)</f>
        <v>2013</v>
      </c>
    </row>
    <row r="4" spans="1:23" ht="18" customHeight="1">
      <c r="A4" s="23" t="str">
        <f>IF(ISBLANK(B4),"",A3+1)</f>
        <v/>
      </c>
      <c r="B4" s="121"/>
      <c r="C4" s="122"/>
      <c r="D4" s="123"/>
      <c r="E4" s="122"/>
      <c r="O4" s="136" t="s">
        <v>86</v>
      </c>
      <c r="P4" s="136" t="str">
        <f>IFERROR(IF(FIND(O4,'PDF Information'!$F$9)&gt;0,2,""),"")</f>
        <v/>
      </c>
      <c r="Q4" s="136">
        <v>2</v>
      </c>
      <c r="R4" s="136" t="str">
        <f>IFERROR(IF(FIND(" 2 ",'PDF Information'!$F$9)&gt;0,1,""),"")</f>
        <v/>
      </c>
      <c r="S4" s="136"/>
      <c r="T4" s="136" t="str">
        <f t="shared" si="0"/>
        <v/>
      </c>
      <c r="U4" s="136">
        <v>2014</v>
      </c>
      <c r="V4" s="136" t="str">
        <f>IFERROR(IF(FIND(U4,'PDF Information'!$F$9)&gt;0,1,""),"")</f>
        <v/>
      </c>
      <c r="W4" s="136" t="str">
        <f>IF(V4="","",V4*U4)</f>
        <v/>
      </c>
    </row>
    <row r="5" spans="1:23">
      <c r="A5" s="23" t="str">
        <f t="shared" ref="A5:A64" si="1">IF(ISBLANK(B5),"",A4+1)</f>
        <v/>
      </c>
      <c r="B5" s="121"/>
      <c r="C5" s="122"/>
      <c r="D5" s="122"/>
      <c r="E5" s="122"/>
      <c r="O5" s="136" t="s">
        <v>87</v>
      </c>
      <c r="P5" s="136" t="str">
        <f>IFERROR(IF(FIND(O5,'PDF Information'!$F$9)&gt;0,3,""),"")</f>
        <v/>
      </c>
      <c r="Q5" s="136">
        <v>3</v>
      </c>
      <c r="R5" s="136" t="str">
        <f>IFERROR(IF(FIND(" 3 ",'PDF Information'!$F$9)&gt;0,1,""),"")</f>
        <v/>
      </c>
      <c r="S5" s="136"/>
      <c r="T5" s="136" t="str">
        <f t="shared" si="0"/>
        <v/>
      </c>
      <c r="U5" s="136">
        <v>2015</v>
      </c>
      <c r="V5" s="136" t="str">
        <f>IFERROR(IF(FIND(U5,'PDF Information'!$F$9)&gt;0,1,""),"")</f>
        <v/>
      </c>
      <c r="W5" s="136" t="str">
        <f t="shared" ref="W5:W10" si="2">IF(V5="","",V5*U5)</f>
        <v/>
      </c>
    </row>
    <row r="6" spans="1:23">
      <c r="A6" s="23" t="str">
        <f t="shared" si="1"/>
        <v/>
      </c>
      <c r="B6" s="121"/>
      <c r="C6" s="122"/>
      <c r="D6" s="122"/>
      <c r="E6" s="122"/>
      <c r="O6" s="136" t="s">
        <v>88</v>
      </c>
      <c r="P6" s="136" t="str">
        <f>IFERROR(IF(FIND(O6,'PDF Information'!$F$9)&gt;0,4,""),"")</f>
        <v/>
      </c>
      <c r="Q6" s="136">
        <v>4</v>
      </c>
      <c r="R6" s="136" t="str">
        <f>IFERROR(IF(FIND(" 4 ",'PDF Information'!$F$9)&gt;0,1,""),"")</f>
        <v/>
      </c>
      <c r="S6" s="136"/>
      <c r="T6" s="136" t="str">
        <f t="shared" si="0"/>
        <v/>
      </c>
      <c r="U6" s="136">
        <v>2016</v>
      </c>
      <c r="V6" s="136" t="str">
        <f>IFERROR(IF(FIND(U6,'PDF Information'!$F$9)&gt;0,1,""),"")</f>
        <v/>
      </c>
      <c r="W6" s="136" t="str">
        <f t="shared" si="2"/>
        <v/>
      </c>
    </row>
    <row r="7" spans="1:23">
      <c r="A7" s="23" t="str">
        <f t="shared" si="1"/>
        <v/>
      </c>
      <c r="B7" s="121"/>
      <c r="C7" s="122"/>
      <c r="D7" s="122"/>
      <c r="E7" s="122"/>
      <c r="O7" s="136" t="s">
        <v>89</v>
      </c>
      <c r="P7" s="136" t="str">
        <f>IFERROR(IF(FIND(O7,'PDF Information'!$F$9)&gt;0,5,""),"")</f>
        <v/>
      </c>
      <c r="Q7" s="136">
        <v>5</v>
      </c>
      <c r="R7" s="136" t="str">
        <f>IFERROR(IF(FIND(" 5 ",'PDF Information'!$F$9)&gt;0,1,""),"")</f>
        <v/>
      </c>
      <c r="S7" s="136"/>
      <c r="T7" s="136" t="str">
        <f t="shared" si="0"/>
        <v/>
      </c>
      <c r="U7" s="136">
        <v>2017</v>
      </c>
      <c r="V7" s="136" t="str">
        <f>IFERROR(IF(FIND(U7,'PDF Information'!$F$9)&gt;0,1,""),"")</f>
        <v/>
      </c>
      <c r="W7" s="136" t="str">
        <f t="shared" si="2"/>
        <v/>
      </c>
    </row>
    <row r="8" spans="1:23">
      <c r="A8" s="23" t="str">
        <f t="shared" si="1"/>
        <v/>
      </c>
      <c r="B8" s="121"/>
      <c r="C8" s="122"/>
      <c r="D8" s="122"/>
      <c r="E8" s="122"/>
      <c r="O8" s="136" t="s">
        <v>90</v>
      </c>
      <c r="P8" s="136" t="str">
        <f>IFERROR(IF(FIND(O8,'PDF Information'!$F$9)&gt;0,6,""),"")</f>
        <v/>
      </c>
      <c r="Q8" s="136">
        <v>6</v>
      </c>
      <c r="R8" s="136" t="str">
        <f>IFERROR(IF(FIND(" 6 ",'PDF Information'!$F$9)&gt;0,1,""),"")</f>
        <v/>
      </c>
      <c r="S8" s="136"/>
      <c r="T8" s="136" t="str">
        <f t="shared" si="0"/>
        <v/>
      </c>
      <c r="U8" s="136">
        <v>2018</v>
      </c>
      <c r="V8" s="136" t="str">
        <f>IFERROR(IF(FIND(U8,'PDF Information'!$F$9)&gt;0,1,""),"")</f>
        <v/>
      </c>
      <c r="W8" s="136" t="str">
        <f t="shared" si="2"/>
        <v/>
      </c>
    </row>
    <row r="9" spans="1:23">
      <c r="A9" s="23" t="str">
        <f t="shared" si="1"/>
        <v/>
      </c>
      <c r="B9" s="121"/>
      <c r="C9" s="122"/>
      <c r="D9" s="123"/>
      <c r="E9" s="122"/>
      <c r="O9" s="136" t="s">
        <v>91</v>
      </c>
      <c r="P9" s="136" t="str">
        <f>IFERROR(IF(FIND(O9,'PDF Information'!$F$9)&gt;0,7,""),"")</f>
        <v/>
      </c>
      <c r="Q9" s="136">
        <v>7</v>
      </c>
      <c r="R9" s="136" t="str">
        <f>IFERROR(IF(FIND(" 7 ",'PDF Information'!$F$9)&gt;0,1,""),"")</f>
        <v/>
      </c>
      <c r="S9" s="136"/>
      <c r="T9" s="136" t="str">
        <f t="shared" si="0"/>
        <v/>
      </c>
      <c r="U9" s="136">
        <v>2019</v>
      </c>
      <c r="V9" s="136" t="str">
        <f>IFERROR(IF(FIND(U9,'PDF Information'!$F$9)&gt;0,1,""),"")</f>
        <v/>
      </c>
      <c r="W9" s="136" t="str">
        <f t="shared" si="2"/>
        <v/>
      </c>
    </row>
    <row r="10" spans="1:23">
      <c r="A10" s="23" t="str">
        <f t="shared" si="1"/>
        <v/>
      </c>
      <c r="B10" s="121"/>
      <c r="C10" s="122"/>
      <c r="D10" s="122"/>
      <c r="E10" s="122"/>
      <c r="O10" s="136" t="s">
        <v>92</v>
      </c>
      <c r="P10" s="136" t="str">
        <f>IFERROR(IF(FIND(O10,'PDF Information'!$F$9)&gt;0,8,""),"")</f>
        <v/>
      </c>
      <c r="Q10" s="136">
        <v>8</v>
      </c>
      <c r="R10" s="136" t="str">
        <f>IFERROR(IF(FIND(" 8 ",'PDF Information'!$F$9)&gt;0,1,""),"")</f>
        <v/>
      </c>
      <c r="S10" s="136"/>
      <c r="T10" s="136" t="str">
        <f t="shared" si="0"/>
        <v/>
      </c>
      <c r="U10" s="136">
        <v>2020</v>
      </c>
      <c r="V10" s="136" t="str">
        <f>IFERROR(IF(FIND(U10,'PDF Information'!$F$9)&gt;0,1,""),"")</f>
        <v/>
      </c>
      <c r="W10" s="136" t="str">
        <f t="shared" si="2"/>
        <v/>
      </c>
    </row>
    <row r="11" spans="1:23">
      <c r="A11" s="23" t="str">
        <f t="shared" si="1"/>
        <v/>
      </c>
      <c r="B11" s="121"/>
      <c r="C11" s="122"/>
      <c r="D11" s="122"/>
      <c r="E11" s="122"/>
      <c r="O11" s="136" t="s">
        <v>93</v>
      </c>
      <c r="P11" s="136" t="str">
        <f>IFERROR(IF(FIND(O11,'PDF Information'!$F$9)&gt;0,9,""),"")</f>
        <v/>
      </c>
      <c r="Q11" s="136">
        <v>9</v>
      </c>
      <c r="R11" s="136" t="str">
        <f>IFERROR(IF(FIND(" 9 ",'PDF Information'!$F$9)&gt;0,1,""),"")</f>
        <v/>
      </c>
      <c r="S11" s="136"/>
      <c r="T11" s="136" t="str">
        <f t="shared" si="0"/>
        <v/>
      </c>
    </row>
    <row r="12" spans="1:23">
      <c r="A12" s="23" t="str">
        <f t="shared" si="1"/>
        <v/>
      </c>
      <c r="B12" s="121"/>
      <c r="C12" s="122"/>
      <c r="D12" s="122"/>
      <c r="E12" s="122"/>
      <c r="O12" s="136" t="s">
        <v>94</v>
      </c>
      <c r="P12" s="136">
        <f>IFERROR(IF(FIND(O12,'PDF Information'!$F$9)&gt;0,10,""),"")</f>
        <v>10</v>
      </c>
      <c r="Q12" s="136">
        <v>10</v>
      </c>
      <c r="R12" s="136" t="str">
        <f>IFERROR(IF(FIND(" 10 ",'PDF Information'!$F$9)&gt;0,1,""),"")</f>
        <v/>
      </c>
      <c r="S12" s="136"/>
      <c r="T12" s="136" t="str">
        <f t="shared" si="0"/>
        <v/>
      </c>
    </row>
    <row r="13" spans="1:23">
      <c r="A13" s="23" t="str">
        <f t="shared" si="1"/>
        <v/>
      </c>
      <c r="B13" s="121"/>
      <c r="C13" s="122"/>
      <c r="D13" s="122"/>
      <c r="E13" s="122"/>
      <c r="O13" s="136" t="s">
        <v>95</v>
      </c>
      <c r="P13" s="136" t="str">
        <f>IFERROR(IF(FIND(O13,'PDF Information'!$F$9)&gt;0,11,""),"")</f>
        <v/>
      </c>
      <c r="Q13" s="136">
        <v>11</v>
      </c>
      <c r="R13" s="136" t="str">
        <f>IFERROR(IF(FIND(" 11 ",'PDF Information'!$F$9)&gt;0,1,""),"")</f>
        <v/>
      </c>
      <c r="S13" s="136"/>
      <c r="T13" s="136" t="str">
        <f t="shared" si="0"/>
        <v/>
      </c>
    </row>
    <row r="14" spans="1:23">
      <c r="A14" s="23" t="str">
        <f t="shared" si="1"/>
        <v/>
      </c>
      <c r="B14" s="121"/>
      <c r="C14" s="122"/>
      <c r="D14" s="122"/>
      <c r="E14" s="122"/>
      <c r="O14" s="136" t="s">
        <v>96</v>
      </c>
      <c r="P14" s="136" t="str">
        <f>IFERROR(IF(FIND(O14,'PDF Information'!$F$9)&gt;0,12,""),"")</f>
        <v/>
      </c>
      <c r="Q14" s="136">
        <v>12</v>
      </c>
      <c r="R14" s="136" t="str">
        <f>IFERROR(IF(FIND(" 12 ",'PDF Information'!$F$9)&gt;0,1,""),"")</f>
        <v/>
      </c>
      <c r="S14" s="136"/>
      <c r="T14" s="136" t="str">
        <f t="shared" si="0"/>
        <v/>
      </c>
    </row>
    <row r="15" spans="1:23">
      <c r="A15" s="23" t="str">
        <f t="shared" si="1"/>
        <v/>
      </c>
      <c r="B15" s="121"/>
      <c r="C15" s="122"/>
      <c r="D15" s="122"/>
      <c r="E15" s="122"/>
      <c r="Q15" s="136">
        <v>13</v>
      </c>
      <c r="R15" s="136" t="str">
        <f>IFERROR(IF(FIND(" 13 ",'PDF Information'!$F$9)&gt;0,1,""),"")</f>
        <v/>
      </c>
      <c r="S15" s="136"/>
      <c r="T15" s="136" t="str">
        <f t="shared" si="0"/>
        <v/>
      </c>
    </row>
    <row r="16" spans="1:23">
      <c r="A16" s="23" t="str">
        <f t="shared" si="1"/>
        <v/>
      </c>
      <c r="B16" s="121"/>
      <c r="C16" s="122"/>
      <c r="D16" s="122"/>
      <c r="E16" s="122"/>
      <c r="Q16" s="136">
        <v>14</v>
      </c>
      <c r="R16" s="136" t="str">
        <f>IFERROR(IF(FIND(" 14 ",'PDF Information'!$F$9)&gt;0,1,""),"")</f>
        <v/>
      </c>
      <c r="S16" s="136"/>
      <c r="T16" s="136" t="str">
        <f t="shared" si="0"/>
        <v/>
      </c>
    </row>
    <row r="17" spans="1:20">
      <c r="A17" s="23" t="str">
        <f t="shared" si="1"/>
        <v/>
      </c>
      <c r="B17" s="121"/>
      <c r="C17" s="122"/>
      <c r="D17" s="122"/>
      <c r="E17" s="122"/>
      <c r="Q17" s="136">
        <v>15</v>
      </c>
      <c r="R17" s="136" t="str">
        <f>IFERROR(IF(FIND(" 15 ",'PDF Information'!$F$9)&gt;0,1,""),"")</f>
        <v/>
      </c>
      <c r="S17" s="136"/>
      <c r="T17" s="136" t="str">
        <f t="shared" si="0"/>
        <v/>
      </c>
    </row>
    <row r="18" spans="1:20">
      <c r="A18" s="23" t="str">
        <f t="shared" si="1"/>
        <v/>
      </c>
      <c r="B18" s="121"/>
      <c r="C18" s="122"/>
      <c r="D18" s="122"/>
      <c r="E18" s="122"/>
      <c r="Q18" s="136">
        <v>16</v>
      </c>
      <c r="R18" s="136" t="str">
        <f>IFERROR(IF(FIND(" 16 ",'PDF Information'!$F$9)&gt;0,1,""),"")</f>
        <v/>
      </c>
      <c r="S18" s="136"/>
      <c r="T18" s="136" t="str">
        <f t="shared" si="0"/>
        <v/>
      </c>
    </row>
    <row r="19" spans="1:20">
      <c r="A19" s="23" t="str">
        <f t="shared" si="1"/>
        <v/>
      </c>
      <c r="B19" s="121"/>
      <c r="C19" s="122"/>
      <c r="D19" s="122"/>
      <c r="E19" s="122"/>
      <c r="Q19" s="136">
        <v>17</v>
      </c>
      <c r="R19" s="136" t="str">
        <f>IFERROR(IF(FIND(" 17 ",'PDF Information'!$F$9)&gt;0,1,""),"")</f>
        <v/>
      </c>
      <c r="S19" s="136"/>
      <c r="T19" s="136" t="str">
        <f t="shared" si="0"/>
        <v/>
      </c>
    </row>
    <row r="20" spans="1:20">
      <c r="A20" s="23" t="str">
        <f t="shared" si="1"/>
        <v/>
      </c>
      <c r="B20" s="121"/>
      <c r="C20" s="122"/>
      <c r="D20" s="122"/>
      <c r="E20" s="122"/>
      <c r="Q20" s="136">
        <v>18</v>
      </c>
      <c r="R20" s="136" t="str">
        <f>IFERROR(IF(FIND(" 18 ",'PDF Information'!$F$9)&gt;0,1,""),"")</f>
        <v/>
      </c>
      <c r="S20" s="136"/>
      <c r="T20" s="136" t="str">
        <f t="shared" si="0"/>
        <v/>
      </c>
    </row>
    <row r="21" spans="1:20">
      <c r="A21" s="23" t="str">
        <f t="shared" si="1"/>
        <v/>
      </c>
      <c r="B21" s="121"/>
      <c r="C21" s="122"/>
      <c r="D21" s="122"/>
      <c r="E21" s="122"/>
      <c r="Q21" s="136">
        <v>19</v>
      </c>
      <c r="R21" s="136" t="str">
        <f>IFERROR(IF(FIND(" 19 ",'PDF Information'!$F$9)&gt;0,1,""),"")</f>
        <v/>
      </c>
      <c r="S21" s="136"/>
      <c r="T21" s="136" t="str">
        <f t="shared" si="0"/>
        <v/>
      </c>
    </row>
    <row r="22" spans="1:20">
      <c r="A22" s="23" t="str">
        <f t="shared" si="1"/>
        <v/>
      </c>
      <c r="B22" s="121"/>
      <c r="C22" s="122"/>
      <c r="D22" s="122"/>
      <c r="E22" s="122"/>
      <c r="Q22" s="136">
        <v>20</v>
      </c>
      <c r="R22" s="136" t="str">
        <f>IFERROR(IF(FIND(" 20 ",'PDF Information'!$F$9)&gt;0,1,""),"")</f>
        <v/>
      </c>
      <c r="S22" s="136"/>
      <c r="T22" s="136" t="str">
        <f t="shared" si="0"/>
        <v/>
      </c>
    </row>
    <row r="23" spans="1:20">
      <c r="A23" s="23" t="str">
        <f t="shared" si="1"/>
        <v/>
      </c>
      <c r="B23" s="121"/>
      <c r="C23" s="122"/>
      <c r="D23" s="122"/>
      <c r="E23" s="122"/>
      <c r="Q23" s="136">
        <v>21</v>
      </c>
      <c r="R23" s="136" t="str">
        <f>IFERROR(IF(FIND(" 21 ",'PDF Information'!$F$9)&gt;0,1,""),"")</f>
        <v/>
      </c>
      <c r="S23" s="136"/>
      <c r="T23" s="136" t="str">
        <f t="shared" si="0"/>
        <v/>
      </c>
    </row>
    <row r="24" spans="1:20">
      <c r="A24" s="23" t="str">
        <f t="shared" si="1"/>
        <v/>
      </c>
      <c r="B24" s="121"/>
      <c r="C24" s="122"/>
      <c r="D24" s="122"/>
      <c r="E24" s="122"/>
      <c r="Q24" s="136">
        <v>22</v>
      </c>
      <c r="R24" s="136" t="str">
        <f>IFERROR(IF(FIND(" 22 ",'PDF Information'!$F$9)&gt;0,1,""),"")</f>
        <v/>
      </c>
      <c r="S24" s="136"/>
      <c r="T24" s="136" t="str">
        <f t="shared" si="0"/>
        <v/>
      </c>
    </row>
    <row r="25" spans="1:20">
      <c r="A25" s="23" t="str">
        <f t="shared" si="1"/>
        <v/>
      </c>
      <c r="B25" s="121"/>
      <c r="C25" s="122"/>
      <c r="D25" s="122"/>
      <c r="E25" s="122"/>
      <c r="Q25" s="136">
        <v>23</v>
      </c>
      <c r="R25" s="136" t="str">
        <f>IFERROR(IF(FIND(" 23 ",'PDF Information'!$F$9)&gt;0,1,""),"")</f>
        <v/>
      </c>
      <c r="S25" s="136"/>
      <c r="T25" s="136" t="str">
        <f t="shared" si="0"/>
        <v/>
      </c>
    </row>
    <row r="26" spans="1:20">
      <c r="A26" s="23" t="str">
        <f t="shared" si="1"/>
        <v/>
      </c>
      <c r="B26" s="121"/>
      <c r="C26" s="122"/>
      <c r="D26" s="122"/>
      <c r="E26" s="122"/>
      <c r="Q26" s="136">
        <v>24</v>
      </c>
      <c r="R26" s="136" t="str">
        <f>IFERROR(IF(FIND(" 24 ",'PDF Information'!$F$9)&gt;0,1,""),"")</f>
        <v/>
      </c>
      <c r="S26" s="136"/>
      <c r="T26" s="136" t="str">
        <f t="shared" si="0"/>
        <v/>
      </c>
    </row>
    <row r="27" spans="1:20">
      <c r="A27" s="23" t="str">
        <f t="shared" si="1"/>
        <v/>
      </c>
      <c r="B27" s="121"/>
      <c r="C27" s="122"/>
      <c r="D27" s="122"/>
      <c r="E27" s="122"/>
      <c r="Q27" s="136">
        <v>25</v>
      </c>
      <c r="R27" s="136" t="str">
        <f>IFERROR(IF(FIND(" 25 ",'PDF Information'!$F$9)&gt;0,1,""),"")</f>
        <v/>
      </c>
      <c r="S27" s="136"/>
      <c r="T27" s="136" t="str">
        <f t="shared" si="0"/>
        <v/>
      </c>
    </row>
    <row r="28" spans="1:20">
      <c r="A28" s="23" t="str">
        <f t="shared" si="1"/>
        <v/>
      </c>
      <c r="B28" s="121"/>
      <c r="C28" s="122"/>
      <c r="D28" s="122"/>
      <c r="E28" s="122"/>
      <c r="Q28" s="136">
        <v>26</v>
      </c>
      <c r="R28" s="136" t="str">
        <f>IFERROR(IF(FIND(" 26 ",'PDF Information'!$F$9)&gt;0,1,""),"")</f>
        <v/>
      </c>
      <c r="S28" s="136"/>
      <c r="T28" s="136" t="str">
        <f t="shared" si="0"/>
        <v/>
      </c>
    </row>
    <row r="29" spans="1:20">
      <c r="A29" s="23" t="str">
        <f t="shared" si="1"/>
        <v/>
      </c>
      <c r="B29" s="121"/>
      <c r="C29" s="122"/>
      <c r="D29" s="122"/>
      <c r="E29" s="122"/>
      <c r="Q29" s="136">
        <v>27</v>
      </c>
      <c r="R29" s="136" t="str">
        <f>IFERROR(IF(FIND(" 27 ",'PDF Information'!$F$9)&gt;0,1,""),"")</f>
        <v/>
      </c>
      <c r="S29" s="136"/>
      <c r="T29" s="136" t="str">
        <f t="shared" si="0"/>
        <v/>
      </c>
    </row>
    <row r="30" spans="1:20">
      <c r="A30" s="23" t="str">
        <f t="shared" si="1"/>
        <v/>
      </c>
      <c r="B30" s="121"/>
      <c r="C30" s="122"/>
      <c r="D30" s="122"/>
      <c r="E30" s="122"/>
      <c r="Q30" s="136">
        <v>28</v>
      </c>
      <c r="R30" s="136" t="str">
        <f>IFERROR(IF(FIND(" 28 ",'PDF Information'!$F$9)&gt;0,1,""),"")</f>
        <v/>
      </c>
      <c r="S30" s="136"/>
      <c r="T30" s="136" t="str">
        <f t="shared" si="0"/>
        <v/>
      </c>
    </row>
    <row r="31" spans="1:20">
      <c r="A31" s="23" t="str">
        <f t="shared" si="1"/>
        <v/>
      </c>
      <c r="B31" s="121"/>
      <c r="C31" s="122"/>
      <c r="D31" s="122"/>
      <c r="E31" s="122"/>
      <c r="Q31" s="136">
        <v>29</v>
      </c>
      <c r="R31" s="136" t="str">
        <f>IFERROR(IF(FIND(" 29 ",'PDF Information'!$F$9)&gt;0,1,""),"")</f>
        <v/>
      </c>
      <c r="S31" s="136"/>
      <c r="T31" s="136" t="str">
        <f t="shared" si="0"/>
        <v/>
      </c>
    </row>
    <row r="32" spans="1:20">
      <c r="A32" s="23" t="str">
        <f t="shared" si="1"/>
        <v/>
      </c>
      <c r="B32" s="121"/>
      <c r="C32" s="122"/>
      <c r="D32" s="122"/>
      <c r="E32" s="122"/>
      <c r="Q32" s="136">
        <v>30</v>
      </c>
      <c r="R32" s="136" t="str">
        <f>IFERROR(IF(FIND(" 30 ",'PDF Information'!$F$9)&gt;0,1,""),"")</f>
        <v/>
      </c>
      <c r="S32" s="136"/>
      <c r="T32" s="136" t="str">
        <f t="shared" si="0"/>
        <v/>
      </c>
    </row>
    <row r="33" spans="1:20">
      <c r="A33" s="23" t="str">
        <f t="shared" si="1"/>
        <v/>
      </c>
      <c r="B33" s="121"/>
      <c r="C33" s="122"/>
      <c r="D33" s="122"/>
      <c r="E33" s="122"/>
      <c r="Q33" s="136">
        <v>31</v>
      </c>
      <c r="R33" s="136" t="str">
        <f>IFERROR(IF(FIND(" 31 ",'PDF Information'!$F$9)&gt;0,1,""),"")</f>
        <v/>
      </c>
      <c r="S33" s="136"/>
      <c r="T33" s="136" t="str">
        <f t="shared" si="0"/>
        <v/>
      </c>
    </row>
    <row r="34" spans="1:20">
      <c r="A34" s="23" t="str">
        <f t="shared" si="1"/>
        <v/>
      </c>
      <c r="B34" s="121"/>
      <c r="C34" s="122"/>
      <c r="D34" s="122"/>
      <c r="E34" s="122"/>
      <c r="Q34" s="136" t="s">
        <v>104</v>
      </c>
      <c r="R34" s="136" t="str">
        <f>IFERROR(IF(FIND(" 01 ",'PDF Information'!$F$9)&gt;0,1,""),"")</f>
        <v/>
      </c>
      <c r="S34" s="136"/>
      <c r="T34" s="136" t="str">
        <f t="shared" si="0"/>
        <v/>
      </c>
    </row>
    <row r="35" spans="1:20">
      <c r="A35" s="23" t="str">
        <f t="shared" si="1"/>
        <v/>
      </c>
      <c r="B35" s="121"/>
      <c r="C35" s="122"/>
      <c r="D35" s="122"/>
      <c r="E35" s="122"/>
      <c r="Q35" s="136" t="s">
        <v>102</v>
      </c>
      <c r="R35" s="136" t="str">
        <f>IFERROR(IF(FIND(" 02 ",'PDF Information'!$F$9)&gt;0,1,""),"")</f>
        <v/>
      </c>
      <c r="S35" s="136"/>
      <c r="T35" s="136" t="str">
        <f t="shared" si="0"/>
        <v/>
      </c>
    </row>
    <row r="36" spans="1:20">
      <c r="A36" s="23" t="str">
        <f t="shared" si="1"/>
        <v/>
      </c>
      <c r="B36" s="121"/>
      <c r="C36" s="122"/>
      <c r="D36" s="122"/>
      <c r="E36" s="122"/>
      <c r="Q36" s="136" t="s">
        <v>103</v>
      </c>
      <c r="R36" s="136" t="str">
        <f>IFERROR(IF(FIND(" 03 ",'PDF Information'!$F$9)&gt;0,1,""),"")</f>
        <v/>
      </c>
      <c r="S36" s="136"/>
      <c r="T36" s="136" t="str">
        <f t="shared" si="0"/>
        <v/>
      </c>
    </row>
    <row r="37" spans="1:20">
      <c r="A37" s="23" t="str">
        <f t="shared" si="1"/>
        <v/>
      </c>
      <c r="B37" s="121"/>
      <c r="C37" s="122"/>
      <c r="D37" s="122"/>
      <c r="E37" s="122"/>
      <c r="Q37" s="136" t="s">
        <v>105</v>
      </c>
      <c r="R37" s="136" t="str">
        <f>IFERROR(IF(FIND(" 04 ",'PDF Information'!$F$9)&gt;0,1,""),"")</f>
        <v/>
      </c>
      <c r="S37" s="136"/>
      <c r="T37" s="136" t="str">
        <f t="shared" si="0"/>
        <v/>
      </c>
    </row>
    <row r="38" spans="1:20">
      <c r="A38" s="23" t="str">
        <f t="shared" si="1"/>
        <v/>
      </c>
      <c r="B38" s="121"/>
      <c r="C38" s="122"/>
      <c r="D38" s="122"/>
      <c r="E38" s="122"/>
      <c r="Q38" s="136" t="s">
        <v>106</v>
      </c>
      <c r="R38" s="136" t="str">
        <f>IFERROR(IF(FIND(" 05 ",'PDF Information'!$F$9)&gt;0,1,""),"")</f>
        <v/>
      </c>
      <c r="S38" s="136"/>
      <c r="T38" s="136" t="str">
        <f t="shared" si="0"/>
        <v/>
      </c>
    </row>
    <row r="39" spans="1:20">
      <c r="A39" s="23" t="str">
        <f t="shared" si="1"/>
        <v/>
      </c>
      <c r="B39" s="121"/>
      <c r="C39" s="122"/>
      <c r="D39" s="122"/>
      <c r="E39" s="122"/>
      <c r="Q39" s="136" t="s">
        <v>107</v>
      </c>
      <c r="R39" s="136" t="str">
        <f>IFERROR(IF(FIND(" 06 ",'PDF Information'!$F$9)&gt;0,1,""),"")</f>
        <v/>
      </c>
      <c r="S39" s="136"/>
      <c r="T39" s="136" t="str">
        <f t="shared" si="0"/>
        <v/>
      </c>
    </row>
    <row r="40" spans="1:20">
      <c r="A40" s="23" t="str">
        <f t="shared" si="1"/>
        <v/>
      </c>
      <c r="B40" s="121"/>
      <c r="C40" s="122"/>
      <c r="D40" s="122"/>
      <c r="E40" s="122"/>
      <c r="Q40" s="136" t="s">
        <v>108</v>
      </c>
      <c r="R40" s="136" t="str">
        <f>IFERROR(IF(FIND(" 07 ",'PDF Information'!$F$9)&gt;0,1,""),"")</f>
        <v/>
      </c>
      <c r="S40" s="136"/>
      <c r="T40" s="136" t="str">
        <f t="shared" si="0"/>
        <v/>
      </c>
    </row>
    <row r="41" spans="1:20">
      <c r="A41" s="23" t="str">
        <f t="shared" si="1"/>
        <v/>
      </c>
      <c r="B41" s="121"/>
      <c r="C41" s="122"/>
      <c r="D41" s="122"/>
      <c r="E41" s="122"/>
      <c r="Q41" s="136" t="s">
        <v>109</v>
      </c>
      <c r="R41" s="136" t="str">
        <f>IFERROR(IF(FIND(" 08 ",'PDF Information'!$F$9)&gt;0,1,""),"")</f>
        <v/>
      </c>
      <c r="S41" s="136"/>
      <c r="T41" s="136" t="str">
        <f t="shared" si="0"/>
        <v/>
      </c>
    </row>
    <row r="42" spans="1:20">
      <c r="A42" s="23" t="str">
        <f t="shared" si="1"/>
        <v/>
      </c>
      <c r="B42" s="121"/>
      <c r="C42" s="122"/>
      <c r="D42" s="122"/>
      <c r="E42" s="122"/>
      <c r="Q42" s="136" t="s">
        <v>110</v>
      </c>
      <c r="R42" s="136" t="str">
        <f>IFERROR(IF(FIND(" 09 ",'PDF Information'!$F$9)&gt;0,1,""),"")</f>
        <v/>
      </c>
      <c r="S42" s="136"/>
      <c r="T42" s="136" t="str">
        <f t="shared" si="0"/>
        <v/>
      </c>
    </row>
    <row r="43" spans="1:20">
      <c r="A43" s="23" t="str">
        <f t="shared" si="1"/>
        <v/>
      </c>
      <c r="B43" s="121"/>
      <c r="C43" s="122"/>
      <c r="D43" s="122"/>
      <c r="E43" s="122"/>
      <c r="Q43" s="136" t="s">
        <v>111</v>
      </c>
      <c r="R43" s="136" t="str">
        <f>IFERROR(IF(FIND(" 1, ",'PDF Information'!$F$9)&gt;0,1,""),"")</f>
        <v/>
      </c>
      <c r="S43" s="136">
        <v>1</v>
      </c>
      <c r="T43" s="136" t="str">
        <f>IF(R43="","",S43*R43)</f>
        <v/>
      </c>
    </row>
    <row r="44" spans="1:20">
      <c r="A44" s="23" t="str">
        <f t="shared" si="1"/>
        <v/>
      </c>
      <c r="B44" s="121"/>
      <c r="C44" s="122"/>
      <c r="D44" s="122"/>
      <c r="E44" s="122"/>
      <c r="Q44" s="136" t="s">
        <v>112</v>
      </c>
      <c r="R44" s="136" t="str">
        <f>IFERROR(IF(FIND(" 2, ",'PDF Information'!$F$9)&gt;0,1,""),"")</f>
        <v/>
      </c>
      <c r="S44" s="136">
        <v>2</v>
      </c>
      <c r="T44" s="136" t="str">
        <f t="shared" ref="T44:T82" si="3">IF(R44="","",S44*R44)</f>
        <v/>
      </c>
    </row>
    <row r="45" spans="1:20">
      <c r="A45" s="23" t="str">
        <f t="shared" si="1"/>
        <v/>
      </c>
      <c r="B45" s="121"/>
      <c r="C45" s="122"/>
      <c r="D45" s="122"/>
      <c r="E45" s="122"/>
      <c r="Q45" s="136" t="s">
        <v>113</v>
      </c>
      <c r="R45" s="136" t="str">
        <f>IFERROR(IF(FIND(" 3, ",'PDF Information'!$F$9)&gt;0,1,""),"")</f>
        <v/>
      </c>
      <c r="S45" s="136">
        <v>3</v>
      </c>
      <c r="T45" s="136" t="str">
        <f t="shared" si="3"/>
        <v/>
      </c>
    </row>
    <row r="46" spans="1:20">
      <c r="A46" s="23" t="str">
        <f t="shared" si="1"/>
        <v/>
      </c>
      <c r="B46" s="121"/>
      <c r="C46" s="122"/>
      <c r="D46" s="122"/>
      <c r="E46" s="122"/>
      <c r="Q46" s="136" t="s">
        <v>114</v>
      </c>
      <c r="R46" s="136" t="str">
        <f>IFERROR(IF(FIND(" 4, ",'PDF Information'!$F$9)&gt;0,1,""),"")</f>
        <v/>
      </c>
      <c r="S46" s="136">
        <v>4</v>
      </c>
      <c r="T46" s="136" t="str">
        <f t="shared" si="3"/>
        <v/>
      </c>
    </row>
    <row r="47" spans="1:20">
      <c r="A47" s="23" t="str">
        <f t="shared" si="1"/>
        <v/>
      </c>
      <c r="B47" s="121"/>
      <c r="C47" s="122"/>
      <c r="D47" s="122"/>
      <c r="E47" s="122"/>
      <c r="Q47" s="136" t="s">
        <v>115</v>
      </c>
      <c r="R47" s="136" t="str">
        <f>IFERROR(IF(FIND(" 5, ",'PDF Information'!$F$9)&gt;0,1,""),"")</f>
        <v/>
      </c>
      <c r="S47" s="136">
        <v>5</v>
      </c>
      <c r="T47" s="136" t="str">
        <f t="shared" si="3"/>
        <v/>
      </c>
    </row>
    <row r="48" spans="1:20">
      <c r="A48" s="23" t="str">
        <f t="shared" si="1"/>
        <v/>
      </c>
      <c r="B48" s="121"/>
      <c r="C48" s="122"/>
      <c r="D48" s="122"/>
      <c r="E48" s="122"/>
      <c r="Q48" s="136" t="s">
        <v>116</v>
      </c>
      <c r="R48" s="136" t="str">
        <f>IFERROR(IF(FIND(" 6, ",'PDF Information'!$F$9)&gt;0,1,""),"")</f>
        <v/>
      </c>
      <c r="S48" s="136">
        <v>6</v>
      </c>
      <c r="T48" s="136" t="str">
        <f t="shared" si="3"/>
        <v/>
      </c>
    </row>
    <row r="49" spans="1:20">
      <c r="A49" s="23" t="str">
        <f t="shared" si="1"/>
        <v/>
      </c>
      <c r="B49" s="121"/>
      <c r="C49" s="122"/>
      <c r="D49" s="122"/>
      <c r="E49" s="122"/>
      <c r="Q49" s="136" t="s">
        <v>117</v>
      </c>
      <c r="R49" s="136" t="str">
        <f>IFERROR(IF(FIND(" 7, ",'PDF Information'!$F$9)&gt;0,1,""),"")</f>
        <v/>
      </c>
      <c r="S49" s="136">
        <v>7</v>
      </c>
      <c r="T49" s="136" t="str">
        <f t="shared" si="3"/>
        <v/>
      </c>
    </row>
    <row r="50" spans="1:20">
      <c r="A50" s="23" t="str">
        <f t="shared" si="1"/>
        <v/>
      </c>
      <c r="B50" s="121"/>
      <c r="C50" s="122"/>
      <c r="D50" s="122"/>
      <c r="E50" s="122"/>
      <c r="Q50" s="136" t="s">
        <v>118</v>
      </c>
      <c r="R50" s="136" t="str">
        <f>IFERROR(IF(FIND(" 8, ",'PDF Information'!$F$9)&gt;0,1,""),"")</f>
        <v/>
      </c>
      <c r="S50" s="136">
        <v>8</v>
      </c>
      <c r="T50" s="136" t="str">
        <f t="shared" si="3"/>
        <v/>
      </c>
    </row>
    <row r="51" spans="1:20">
      <c r="A51" s="23" t="str">
        <f t="shared" si="1"/>
        <v/>
      </c>
      <c r="B51" s="121"/>
      <c r="C51" s="122"/>
      <c r="D51" s="122"/>
      <c r="E51" s="122"/>
      <c r="Q51" s="136" t="s">
        <v>119</v>
      </c>
      <c r="R51" s="136" t="str">
        <f>IFERROR(IF(FIND(" 9, ",'PDF Information'!$F$9)&gt;0,1,""),"")</f>
        <v/>
      </c>
      <c r="S51" s="136">
        <v>9</v>
      </c>
      <c r="T51" s="136" t="str">
        <f t="shared" si="3"/>
        <v/>
      </c>
    </row>
    <row r="52" spans="1:20">
      <c r="A52" s="23" t="str">
        <f t="shared" si="1"/>
        <v/>
      </c>
      <c r="B52" s="121"/>
      <c r="C52" s="122"/>
      <c r="D52" s="122"/>
      <c r="E52" s="122"/>
      <c r="Q52" s="136" t="s">
        <v>120</v>
      </c>
      <c r="R52" s="136" t="str">
        <f>IFERROR(IF(FIND(" 10, ",'PDF Information'!$F$9)&gt;0,1,""),"")</f>
        <v/>
      </c>
      <c r="S52" s="136">
        <v>10</v>
      </c>
      <c r="T52" s="136" t="str">
        <f t="shared" si="3"/>
        <v/>
      </c>
    </row>
    <row r="53" spans="1:20">
      <c r="A53" s="23" t="str">
        <f t="shared" si="1"/>
        <v/>
      </c>
      <c r="B53" s="121"/>
      <c r="C53" s="122"/>
      <c r="D53" s="122"/>
      <c r="E53" s="122"/>
      <c r="Q53" s="136" t="s">
        <v>121</v>
      </c>
      <c r="R53" s="136" t="str">
        <f>IFERROR(IF(FIND(" 11, ",'PDF Information'!$F$9)&gt;0,1,""),"")</f>
        <v/>
      </c>
      <c r="S53" s="136">
        <v>11</v>
      </c>
      <c r="T53" s="136" t="str">
        <f t="shared" si="3"/>
        <v/>
      </c>
    </row>
    <row r="54" spans="1:20">
      <c r="A54" s="23" t="str">
        <f t="shared" si="1"/>
        <v/>
      </c>
      <c r="B54" s="121"/>
      <c r="C54" s="122"/>
      <c r="D54" s="122"/>
      <c r="E54" s="122"/>
      <c r="Q54" s="136" t="s">
        <v>122</v>
      </c>
      <c r="R54" s="136" t="str">
        <f>IFERROR(IF(FIND(" 12, ",'PDF Information'!$F$9)&gt;0,1,""),"")</f>
        <v/>
      </c>
      <c r="S54" s="136">
        <v>12</v>
      </c>
      <c r="T54" s="136" t="str">
        <f t="shared" si="3"/>
        <v/>
      </c>
    </row>
    <row r="55" spans="1:20">
      <c r="A55" s="23" t="str">
        <f t="shared" si="1"/>
        <v/>
      </c>
      <c r="B55" s="121"/>
      <c r="C55" s="122"/>
      <c r="D55" s="122"/>
      <c r="E55" s="122"/>
      <c r="Q55" s="136" t="s">
        <v>123</v>
      </c>
      <c r="R55" s="136" t="str">
        <f>IFERROR(IF(FIND(" 13, ",'PDF Information'!$F$9)&gt;0,1,""),"")</f>
        <v/>
      </c>
      <c r="S55" s="136">
        <v>13</v>
      </c>
      <c r="T55" s="136" t="str">
        <f t="shared" si="3"/>
        <v/>
      </c>
    </row>
    <row r="56" spans="1:20">
      <c r="A56" s="23" t="str">
        <f t="shared" si="1"/>
        <v/>
      </c>
      <c r="B56" s="121"/>
      <c r="C56" s="122"/>
      <c r="D56" s="122"/>
      <c r="E56" s="122"/>
      <c r="Q56" s="136" t="s">
        <v>124</v>
      </c>
      <c r="R56" s="136" t="str">
        <f>IFERROR(IF(FIND(" 14, ",'PDF Information'!$F$9)&gt;0,1,""),"")</f>
        <v/>
      </c>
      <c r="S56" s="136">
        <v>14</v>
      </c>
      <c r="T56" s="136" t="str">
        <f t="shared" si="3"/>
        <v/>
      </c>
    </row>
    <row r="57" spans="1:20">
      <c r="A57" s="23" t="str">
        <f t="shared" si="1"/>
        <v/>
      </c>
      <c r="B57" s="121"/>
      <c r="C57" s="122"/>
      <c r="D57" s="122"/>
      <c r="E57" s="122"/>
      <c r="Q57" s="136" t="s">
        <v>125</v>
      </c>
      <c r="R57" s="136" t="str">
        <f>IFERROR(IF(FIND(" 15, ",'PDF Information'!$F$9)&gt;0,1,""),"")</f>
        <v/>
      </c>
      <c r="S57" s="136">
        <v>15</v>
      </c>
      <c r="T57" s="136" t="str">
        <f t="shared" si="3"/>
        <v/>
      </c>
    </row>
    <row r="58" spans="1:20">
      <c r="A58" s="23" t="str">
        <f t="shared" si="1"/>
        <v/>
      </c>
      <c r="B58" s="121"/>
      <c r="C58" s="122"/>
      <c r="D58" s="122"/>
      <c r="E58" s="122"/>
      <c r="Q58" s="136" t="s">
        <v>126</v>
      </c>
      <c r="R58" s="136" t="str">
        <f>IFERROR(IF(FIND(" 16, ",'PDF Information'!$F$9)&gt;0,1,""),"")</f>
        <v/>
      </c>
      <c r="S58" s="136">
        <v>16</v>
      </c>
      <c r="T58" s="136" t="str">
        <f t="shared" si="3"/>
        <v/>
      </c>
    </row>
    <row r="59" spans="1:20">
      <c r="A59" s="23" t="str">
        <f t="shared" si="1"/>
        <v/>
      </c>
      <c r="B59" s="121"/>
      <c r="C59" s="122"/>
      <c r="D59" s="122"/>
      <c r="E59" s="122"/>
      <c r="Q59" s="136" t="s">
        <v>127</v>
      </c>
      <c r="R59" s="136" t="str">
        <f>IFERROR(IF(FIND(" 17, ",'PDF Information'!$F$9)&gt;0,1,""),"")</f>
        <v/>
      </c>
      <c r="S59" s="136">
        <v>17</v>
      </c>
      <c r="T59" s="136" t="str">
        <f t="shared" si="3"/>
        <v/>
      </c>
    </row>
    <row r="60" spans="1:20">
      <c r="A60" s="23" t="str">
        <f t="shared" si="1"/>
        <v/>
      </c>
      <c r="B60" s="121"/>
      <c r="C60" s="122"/>
      <c r="D60" s="122"/>
      <c r="E60" s="122"/>
      <c r="Q60" s="136" t="s">
        <v>128</v>
      </c>
      <c r="R60" s="136" t="str">
        <f>IFERROR(IF(FIND(" 18, ",'PDF Information'!$F$9)&gt;0,1,""),"")</f>
        <v/>
      </c>
      <c r="S60" s="136">
        <v>18</v>
      </c>
      <c r="T60" s="136" t="str">
        <f t="shared" si="3"/>
        <v/>
      </c>
    </row>
    <row r="61" spans="1:20">
      <c r="A61" s="23" t="str">
        <f t="shared" si="1"/>
        <v/>
      </c>
      <c r="B61" s="121"/>
      <c r="C61" s="122"/>
      <c r="D61" s="122"/>
      <c r="E61" s="122"/>
      <c r="Q61" s="136" t="s">
        <v>129</v>
      </c>
      <c r="R61" s="136" t="str">
        <f>IFERROR(IF(FIND(" 19, ",'PDF Information'!$F$9)&gt;0,1,""),"")</f>
        <v/>
      </c>
      <c r="S61" s="136">
        <v>19</v>
      </c>
      <c r="T61" s="136" t="str">
        <f t="shared" si="3"/>
        <v/>
      </c>
    </row>
    <row r="62" spans="1:20">
      <c r="A62" s="23" t="str">
        <f>IF(ISBLANK(B62),"",A61+1)</f>
        <v/>
      </c>
      <c r="B62" s="121"/>
      <c r="C62" s="122"/>
      <c r="D62" s="122"/>
      <c r="E62" s="122"/>
      <c r="Q62" s="136" t="s">
        <v>130</v>
      </c>
      <c r="R62" s="136" t="str">
        <f>IFERROR(IF(FIND(" 20, ",'PDF Information'!$F$9)&gt;0,1,""),"")</f>
        <v/>
      </c>
      <c r="S62" s="136">
        <v>20</v>
      </c>
      <c r="T62" s="136" t="str">
        <f t="shared" si="3"/>
        <v/>
      </c>
    </row>
    <row r="63" spans="1:20">
      <c r="A63" s="23" t="str">
        <f t="shared" si="1"/>
        <v/>
      </c>
      <c r="B63" s="121"/>
      <c r="C63" s="122"/>
      <c r="D63" s="122"/>
      <c r="E63" s="122"/>
      <c r="Q63" s="136" t="s">
        <v>131</v>
      </c>
      <c r="R63" s="136" t="str">
        <f>IFERROR(IF(FIND(" 21, ",'PDF Information'!$F$9)&gt;0,1,""),"")</f>
        <v/>
      </c>
      <c r="S63" s="136">
        <v>21</v>
      </c>
      <c r="T63" s="136" t="str">
        <f t="shared" si="3"/>
        <v/>
      </c>
    </row>
    <row r="64" spans="1:20">
      <c r="A64" s="23" t="str">
        <f t="shared" si="1"/>
        <v/>
      </c>
      <c r="B64" s="121"/>
      <c r="C64" s="122"/>
      <c r="D64" s="122"/>
      <c r="E64" s="122"/>
      <c r="Q64" s="136" t="s">
        <v>132</v>
      </c>
      <c r="R64" s="136" t="str">
        <f>IFERROR(IF(FIND(" 22, ",'PDF Information'!$F$9)&gt;0,1,""),"")</f>
        <v/>
      </c>
      <c r="S64" s="136">
        <v>22</v>
      </c>
      <c r="T64" s="136" t="str">
        <f t="shared" si="3"/>
        <v/>
      </c>
    </row>
    <row r="65" spans="1:20">
      <c r="A65" s="23" t="str">
        <f t="shared" ref="A65:A66" si="4">IF(ISBLANK(B65),"",A64+1)</f>
        <v/>
      </c>
      <c r="B65" s="121"/>
      <c r="C65" s="122"/>
      <c r="D65" s="122"/>
      <c r="E65" s="122"/>
      <c r="Q65" s="136" t="s">
        <v>133</v>
      </c>
      <c r="R65" s="136" t="str">
        <f>IFERROR(IF(FIND(" 23, ",'PDF Information'!$F$9)&gt;0,1,""),"")</f>
        <v/>
      </c>
      <c r="S65" s="136">
        <v>23</v>
      </c>
      <c r="T65" s="136" t="str">
        <f t="shared" si="3"/>
        <v/>
      </c>
    </row>
    <row r="66" spans="1:20">
      <c r="A66" s="23" t="str">
        <f t="shared" si="4"/>
        <v/>
      </c>
      <c r="B66" s="121"/>
      <c r="C66" s="122"/>
      <c r="D66" s="122"/>
      <c r="E66" s="122"/>
      <c r="Q66" s="136" t="s">
        <v>134</v>
      </c>
      <c r="R66" s="136" t="str">
        <f>IFERROR(IF(FIND(" 24, ",'PDF Information'!$F$9)&gt;0,1,""),"")</f>
        <v/>
      </c>
      <c r="S66" s="136">
        <v>24</v>
      </c>
      <c r="T66" s="136" t="str">
        <f t="shared" si="3"/>
        <v/>
      </c>
    </row>
    <row r="67" spans="1:20">
      <c r="Q67" s="136" t="s">
        <v>135</v>
      </c>
      <c r="R67" s="136" t="str">
        <f>IFERROR(IF(FIND(" 25, ",'PDF Information'!$F$9)&gt;0,1,""),"")</f>
        <v/>
      </c>
      <c r="S67" s="136">
        <v>25</v>
      </c>
      <c r="T67" s="136" t="str">
        <f t="shared" si="3"/>
        <v/>
      </c>
    </row>
    <row r="68" spans="1:20">
      <c r="Q68" s="136" t="s">
        <v>136</v>
      </c>
      <c r="R68" s="136" t="str">
        <f>IFERROR(IF(FIND(" 26, ",'PDF Information'!$F$9)&gt;0,1,""),"")</f>
        <v/>
      </c>
      <c r="S68" s="136">
        <v>26</v>
      </c>
      <c r="T68" s="136" t="str">
        <f t="shared" si="3"/>
        <v/>
      </c>
    </row>
    <row r="69" spans="1:20">
      <c r="Q69" s="136" t="s">
        <v>137</v>
      </c>
      <c r="R69" s="136" t="str">
        <f>IFERROR(IF(FIND(" 27, ",'PDF Information'!$F$9)&gt;0,1,""),"")</f>
        <v/>
      </c>
      <c r="S69" s="136">
        <v>27</v>
      </c>
      <c r="T69" s="136" t="str">
        <f t="shared" si="3"/>
        <v/>
      </c>
    </row>
    <row r="70" spans="1:20">
      <c r="Q70" s="136" t="s">
        <v>138</v>
      </c>
      <c r="R70" s="136">
        <f>IFERROR(IF(FIND(" 28, ",'PDF Information'!$F$9)&gt;0,1,""),"")</f>
        <v>1</v>
      </c>
      <c r="S70" s="136">
        <v>28</v>
      </c>
      <c r="T70" s="136">
        <f t="shared" si="3"/>
        <v>28</v>
      </c>
    </row>
    <row r="71" spans="1:20">
      <c r="Q71" s="136" t="s">
        <v>139</v>
      </c>
      <c r="R71" s="136" t="str">
        <f>IFERROR(IF(FIND(" 29, ",'PDF Information'!$F$9)&gt;0,1,""),"")</f>
        <v/>
      </c>
      <c r="S71" s="136">
        <v>29</v>
      </c>
      <c r="T71" s="136" t="str">
        <f t="shared" si="3"/>
        <v/>
      </c>
    </row>
    <row r="72" spans="1:20">
      <c r="Q72" s="136" t="s">
        <v>140</v>
      </c>
      <c r="R72" s="136" t="str">
        <f>IFERROR(IF(FIND(" 30, ",'PDF Information'!$F$9)&gt;0,1,""),"")</f>
        <v/>
      </c>
      <c r="S72" s="136">
        <v>30</v>
      </c>
      <c r="T72" s="136" t="str">
        <f t="shared" si="3"/>
        <v/>
      </c>
    </row>
    <row r="73" spans="1:20">
      <c r="Q73" s="136" t="s">
        <v>141</v>
      </c>
      <c r="R73" s="136" t="str">
        <f>IFERROR(IF(FIND(" 31, ",'PDF Information'!$F$9)&gt;0,1,""),"")</f>
        <v/>
      </c>
      <c r="S73" s="136">
        <v>31</v>
      </c>
      <c r="T73" s="136" t="str">
        <f t="shared" si="3"/>
        <v/>
      </c>
    </row>
    <row r="74" spans="1:20">
      <c r="Q74" s="136" t="s">
        <v>142</v>
      </c>
      <c r="R74" s="136" t="str">
        <f>IFERROR(IF(FIND(" 01, ",'PDF Information'!$F$9)&gt;0,1,""),"")</f>
        <v/>
      </c>
      <c r="S74" s="136" t="s">
        <v>104</v>
      </c>
      <c r="T74" s="136" t="str">
        <f t="shared" si="3"/>
        <v/>
      </c>
    </row>
    <row r="75" spans="1:20">
      <c r="Q75" s="136" t="s">
        <v>143</v>
      </c>
      <c r="R75" s="136" t="str">
        <f>IFERROR(IF(FIND(" 02, ",'PDF Information'!$F$9)&gt;0,1,""),"")</f>
        <v/>
      </c>
      <c r="S75" s="136" t="s">
        <v>102</v>
      </c>
      <c r="T75" s="136" t="str">
        <f t="shared" si="3"/>
        <v/>
      </c>
    </row>
    <row r="76" spans="1:20">
      <c r="Q76" s="136" t="s">
        <v>144</v>
      </c>
      <c r="R76" s="136" t="str">
        <f>IFERROR(IF(FIND(" 03, ",'PDF Information'!$F$9)&gt;0,1,""),"")</f>
        <v/>
      </c>
      <c r="S76" s="136" t="s">
        <v>103</v>
      </c>
      <c r="T76" s="136" t="str">
        <f t="shared" si="3"/>
        <v/>
      </c>
    </row>
    <row r="77" spans="1:20">
      <c r="Q77" s="136" t="s">
        <v>145</v>
      </c>
      <c r="R77" s="136" t="str">
        <f>IFERROR(IF(FIND(" 04, ",'PDF Information'!$F$9)&gt;0,1,""),"")</f>
        <v/>
      </c>
      <c r="S77" s="136" t="s">
        <v>105</v>
      </c>
      <c r="T77" s="136" t="str">
        <f t="shared" si="3"/>
        <v/>
      </c>
    </row>
    <row r="78" spans="1:20">
      <c r="Q78" s="136" t="s">
        <v>146</v>
      </c>
      <c r="R78" s="136" t="str">
        <f>IFERROR(IF(FIND(" 05, ",'PDF Information'!$F$9)&gt;0,1,""),"")</f>
        <v/>
      </c>
      <c r="S78" s="136" t="s">
        <v>106</v>
      </c>
      <c r="T78" s="136" t="str">
        <f t="shared" si="3"/>
        <v/>
      </c>
    </row>
    <row r="79" spans="1:20">
      <c r="Q79" s="136" t="s">
        <v>147</v>
      </c>
      <c r="R79" s="136" t="str">
        <f>IFERROR(IF(FIND(" 06, ",'PDF Information'!$F$9)&gt;0,1,""),"")</f>
        <v/>
      </c>
      <c r="S79" s="136" t="s">
        <v>107</v>
      </c>
      <c r="T79" s="136" t="str">
        <f t="shared" si="3"/>
        <v/>
      </c>
    </row>
    <row r="80" spans="1:20">
      <c r="Q80" s="136" t="s">
        <v>148</v>
      </c>
      <c r="R80" s="136" t="str">
        <f>IFERROR(IF(FIND(" 07, ",'PDF Information'!$F$9)&gt;0,1,""),"")</f>
        <v/>
      </c>
      <c r="S80" s="136" t="s">
        <v>108</v>
      </c>
      <c r="T80" s="136" t="str">
        <f t="shared" si="3"/>
        <v/>
      </c>
    </row>
    <row r="81" spans="17:20">
      <c r="Q81" s="136" t="s">
        <v>149</v>
      </c>
      <c r="R81" s="136" t="str">
        <f>IFERROR(IF(FIND(" 08, ",'PDF Information'!$F$9)&gt;0,1,""),"")</f>
        <v/>
      </c>
      <c r="S81" s="136" t="s">
        <v>109</v>
      </c>
      <c r="T81" s="136" t="str">
        <f t="shared" si="3"/>
        <v/>
      </c>
    </row>
    <row r="82" spans="17:20">
      <c r="Q82" s="136" t="s">
        <v>150</v>
      </c>
      <c r="R82" s="136" t="str">
        <f>IFERROR(IF(FIND(" 09, ",'PDF Information'!$F$9)&gt;0,1,""),"")</f>
        <v/>
      </c>
      <c r="S82" s="136" t="s">
        <v>110</v>
      </c>
      <c r="T82" s="136" t="str">
        <f t="shared" si="3"/>
        <v/>
      </c>
    </row>
    <row r="83" spans="17:20">
      <c r="R83"/>
      <c r="S83"/>
      <c r="T83"/>
    </row>
  </sheetData>
  <sheetProtection sheet="1" objects="1" scenarios="1" formatCells="0" formatColumns="0" formatRows="0"/>
  <conditionalFormatting sqref="C3:E66">
    <cfRule type="containsText" dxfId="18" priority="21" operator="containsText" text="CHECK">
      <formula>NOT(ISERROR(SEARCH("CHECK",C3)))</formula>
    </cfRule>
  </conditionalFormatting>
  <conditionalFormatting sqref="B3:E66">
    <cfRule type="containsBlanks" dxfId="17" priority="19">
      <formula>LEN(TRIM(B3))=0</formula>
    </cfRule>
  </conditionalFormatting>
  <conditionalFormatting sqref="O3:Q5 O6:P14 Q6:Q42">
    <cfRule type="containsText" dxfId="16" priority="18" operator="containsText" text="CHECK">
      <formula>NOT(ISERROR(SEARCH("CHECK",O3)))</formula>
    </cfRule>
  </conditionalFormatting>
  <conditionalFormatting sqref="O3:Q5 O6:P14 Q6:Q42">
    <cfRule type="containsBlanks" dxfId="15" priority="17">
      <formula>LEN(TRIM(O3))=0</formula>
    </cfRule>
  </conditionalFormatting>
  <conditionalFormatting sqref="R3:S82">
    <cfRule type="containsText" dxfId="14" priority="16" operator="containsText" text="CHECK">
      <formula>NOT(ISERROR(SEARCH("CHECK",R3)))</formula>
    </cfRule>
  </conditionalFormatting>
  <conditionalFormatting sqref="R3:S82">
    <cfRule type="containsBlanks" dxfId="13" priority="15">
      <formula>LEN(TRIM(R3))=0</formula>
    </cfRule>
  </conditionalFormatting>
  <conditionalFormatting sqref="T3:T82">
    <cfRule type="containsText" dxfId="12" priority="14" operator="containsText" text="CHECK">
      <formula>NOT(ISERROR(SEARCH("CHECK",T3)))</formula>
    </cfRule>
  </conditionalFormatting>
  <conditionalFormatting sqref="T3:T82">
    <cfRule type="containsBlanks" dxfId="11" priority="13">
      <formula>LEN(TRIM(T3))=0</formula>
    </cfRule>
  </conditionalFormatting>
  <conditionalFormatting sqref="U3:V10">
    <cfRule type="containsText" dxfId="10" priority="12" operator="containsText" text="CHECK">
      <formula>NOT(ISERROR(SEARCH("CHECK",U3)))</formula>
    </cfRule>
  </conditionalFormatting>
  <conditionalFormatting sqref="U3:V10">
    <cfRule type="containsBlanks" dxfId="9" priority="11">
      <formula>LEN(TRIM(U3))=0</formula>
    </cfRule>
  </conditionalFormatting>
  <conditionalFormatting sqref="W3:W10">
    <cfRule type="containsText" dxfId="8" priority="10" operator="containsText" text="CHECK">
      <formula>NOT(ISERROR(SEARCH("CHECK",W3)))</formula>
    </cfRule>
  </conditionalFormatting>
  <conditionalFormatting sqref="W3:W10">
    <cfRule type="containsBlanks" dxfId="7" priority="9">
      <formula>LEN(TRIM(W3))=0</formula>
    </cfRule>
  </conditionalFormatting>
  <conditionalFormatting sqref="U10:V10">
    <cfRule type="containsText" dxfId="6" priority="8" operator="containsText" text="CHECK">
      <formula>NOT(ISERROR(SEARCH("CHECK",U10)))</formula>
    </cfRule>
  </conditionalFormatting>
  <conditionalFormatting sqref="U10:V10">
    <cfRule type="containsBlanks" dxfId="5" priority="7">
      <formula>LEN(TRIM(U10))=0</formula>
    </cfRule>
  </conditionalFormatting>
  <conditionalFormatting sqref="W10">
    <cfRule type="containsText" dxfId="4" priority="6" operator="containsText" text="CHECK">
      <formula>NOT(ISERROR(SEARCH("CHECK",W10)))</formula>
    </cfRule>
  </conditionalFormatting>
  <conditionalFormatting sqref="W10">
    <cfRule type="containsBlanks" dxfId="3" priority="5">
      <formula>LEN(TRIM(W10))=0</formula>
    </cfRule>
  </conditionalFormatting>
  <conditionalFormatting sqref="Q43:Q82">
    <cfRule type="containsText" dxfId="2" priority="2" operator="containsText" text="CHECK">
      <formula>NOT(ISERROR(SEARCH("CHECK",Q43)))</formula>
    </cfRule>
  </conditionalFormatting>
  <conditionalFormatting sqref="Q43:Q82">
    <cfRule type="containsBlanks" dxfId="1" priority="1">
      <formula>LEN(TRIM(Q43))=0</formula>
    </cfRule>
  </conditionalFormatting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FF0000"/>
  </sheetPr>
  <dimension ref="A1:AQ16330"/>
  <sheetViews>
    <sheetView showGridLines="0" showZeros="0" zoomScaleNormal="100" workbookViewId="0">
      <selection activeCell="M8" sqref="M8"/>
    </sheetView>
  </sheetViews>
  <sheetFormatPr defaultColWidth="11.42578125" defaultRowHeight="12.75"/>
  <cols>
    <col min="1" max="1" width="15.85546875" style="102" customWidth="1"/>
    <col min="2" max="2" width="6" style="48" customWidth="1"/>
    <col min="3" max="3" width="9" style="48" customWidth="1"/>
    <col min="4" max="9" width="4.7109375" style="48" customWidth="1"/>
    <col min="10" max="10" width="3.28515625" style="48" customWidth="1"/>
    <col min="11" max="11" width="5.7109375" style="48" customWidth="1"/>
    <col min="12" max="12" width="11.85546875" style="48" customWidth="1"/>
    <col min="13" max="13" width="12.5703125" style="38" customWidth="1"/>
    <col min="14" max="14" width="14.140625" style="48" customWidth="1"/>
    <col min="15" max="15" width="15.85546875" style="48" hidden="1" customWidth="1"/>
    <col min="16" max="16" width="15.85546875" style="69" hidden="1" customWidth="1"/>
    <col min="17" max="17" width="11.5703125" style="38" customWidth="1"/>
    <col min="18" max="18" width="11.5703125" style="38" hidden="1" customWidth="1"/>
    <col min="19" max="22" width="11.5703125" style="48" hidden="1" customWidth="1"/>
    <col min="23" max="26" width="11.5703125" style="38" hidden="1" customWidth="1"/>
    <col min="27" max="28" width="11.5703125" style="51" hidden="1" customWidth="1"/>
    <col min="29" max="35" width="11.5703125" style="38" hidden="1" customWidth="1"/>
    <col min="36" max="37" width="11.42578125" style="38" hidden="1" customWidth="1"/>
    <col min="38" max="38" width="12.28515625" style="38" bestFit="1" customWidth="1"/>
    <col min="39" max="257" width="11.42578125" style="38"/>
    <col min="258" max="258" width="15.85546875" style="38" customWidth="1"/>
    <col min="259" max="259" width="6" style="38" customWidth="1"/>
    <col min="260" max="266" width="4.7109375" style="38" customWidth="1"/>
    <col min="267" max="267" width="3.28515625" style="38" customWidth="1"/>
    <col min="268" max="268" width="5.7109375" style="38" customWidth="1"/>
    <col min="269" max="269" width="11.85546875" style="38" customWidth="1"/>
    <col min="270" max="270" width="12.5703125" style="38" customWidth="1"/>
    <col min="271" max="271" width="14.140625" style="38" customWidth="1"/>
    <col min="272" max="272" width="0" style="38" hidden="1" customWidth="1"/>
    <col min="273" max="273" width="11.5703125" style="38" customWidth="1"/>
    <col min="274" max="293" width="0" style="38" hidden="1" customWidth="1"/>
    <col min="294" max="513" width="11.42578125" style="38"/>
    <col min="514" max="514" width="15.85546875" style="38" customWidth="1"/>
    <col min="515" max="515" width="6" style="38" customWidth="1"/>
    <col min="516" max="522" width="4.7109375" style="38" customWidth="1"/>
    <col min="523" max="523" width="3.28515625" style="38" customWidth="1"/>
    <col min="524" max="524" width="5.7109375" style="38" customWidth="1"/>
    <col min="525" max="525" width="11.85546875" style="38" customWidth="1"/>
    <col min="526" max="526" width="12.5703125" style="38" customWidth="1"/>
    <col min="527" max="527" width="14.140625" style="38" customWidth="1"/>
    <col min="528" max="528" width="0" style="38" hidden="1" customWidth="1"/>
    <col min="529" max="529" width="11.5703125" style="38" customWidth="1"/>
    <col min="530" max="549" width="0" style="38" hidden="1" customWidth="1"/>
    <col min="550" max="769" width="11.42578125" style="38"/>
    <col min="770" max="770" width="15.85546875" style="38" customWidth="1"/>
    <col min="771" max="771" width="6" style="38" customWidth="1"/>
    <col min="772" max="778" width="4.7109375" style="38" customWidth="1"/>
    <col min="779" max="779" width="3.28515625" style="38" customWidth="1"/>
    <col min="780" max="780" width="5.7109375" style="38" customWidth="1"/>
    <col min="781" max="781" width="11.85546875" style="38" customWidth="1"/>
    <col min="782" max="782" width="12.5703125" style="38" customWidth="1"/>
    <col min="783" max="783" width="14.140625" style="38" customWidth="1"/>
    <col min="784" max="784" width="0" style="38" hidden="1" customWidth="1"/>
    <col min="785" max="785" width="11.5703125" style="38" customWidth="1"/>
    <col min="786" max="805" width="0" style="38" hidden="1" customWidth="1"/>
    <col min="806" max="1025" width="11.42578125" style="38"/>
    <col min="1026" max="1026" width="15.85546875" style="38" customWidth="1"/>
    <col min="1027" max="1027" width="6" style="38" customWidth="1"/>
    <col min="1028" max="1034" width="4.7109375" style="38" customWidth="1"/>
    <col min="1035" max="1035" width="3.28515625" style="38" customWidth="1"/>
    <col min="1036" max="1036" width="5.7109375" style="38" customWidth="1"/>
    <col min="1037" max="1037" width="11.85546875" style="38" customWidth="1"/>
    <col min="1038" max="1038" width="12.5703125" style="38" customWidth="1"/>
    <col min="1039" max="1039" width="14.140625" style="38" customWidth="1"/>
    <col min="1040" max="1040" width="0" style="38" hidden="1" customWidth="1"/>
    <col min="1041" max="1041" width="11.5703125" style="38" customWidth="1"/>
    <col min="1042" max="1061" width="0" style="38" hidden="1" customWidth="1"/>
    <col min="1062" max="1281" width="11.42578125" style="38"/>
    <col min="1282" max="1282" width="15.85546875" style="38" customWidth="1"/>
    <col min="1283" max="1283" width="6" style="38" customWidth="1"/>
    <col min="1284" max="1290" width="4.7109375" style="38" customWidth="1"/>
    <col min="1291" max="1291" width="3.28515625" style="38" customWidth="1"/>
    <col min="1292" max="1292" width="5.7109375" style="38" customWidth="1"/>
    <col min="1293" max="1293" width="11.85546875" style="38" customWidth="1"/>
    <col min="1294" max="1294" width="12.5703125" style="38" customWidth="1"/>
    <col min="1295" max="1295" width="14.140625" style="38" customWidth="1"/>
    <col min="1296" max="1296" width="0" style="38" hidden="1" customWidth="1"/>
    <col min="1297" max="1297" width="11.5703125" style="38" customWidth="1"/>
    <col min="1298" max="1317" width="0" style="38" hidden="1" customWidth="1"/>
    <col min="1318" max="1537" width="11.42578125" style="38"/>
    <col min="1538" max="1538" width="15.85546875" style="38" customWidth="1"/>
    <col min="1539" max="1539" width="6" style="38" customWidth="1"/>
    <col min="1540" max="1546" width="4.7109375" style="38" customWidth="1"/>
    <col min="1547" max="1547" width="3.28515625" style="38" customWidth="1"/>
    <col min="1548" max="1548" width="5.7109375" style="38" customWidth="1"/>
    <col min="1549" max="1549" width="11.85546875" style="38" customWidth="1"/>
    <col min="1550" max="1550" width="12.5703125" style="38" customWidth="1"/>
    <col min="1551" max="1551" width="14.140625" style="38" customWidth="1"/>
    <col min="1552" max="1552" width="0" style="38" hidden="1" customWidth="1"/>
    <col min="1553" max="1553" width="11.5703125" style="38" customWidth="1"/>
    <col min="1554" max="1573" width="0" style="38" hidden="1" customWidth="1"/>
    <col min="1574" max="1793" width="11.42578125" style="38"/>
    <col min="1794" max="1794" width="15.85546875" style="38" customWidth="1"/>
    <col min="1795" max="1795" width="6" style="38" customWidth="1"/>
    <col min="1796" max="1802" width="4.7109375" style="38" customWidth="1"/>
    <col min="1803" max="1803" width="3.28515625" style="38" customWidth="1"/>
    <col min="1804" max="1804" width="5.7109375" style="38" customWidth="1"/>
    <col min="1805" max="1805" width="11.85546875" style="38" customWidth="1"/>
    <col min="1806" max="1806" width="12.5703125" style="38" customWidth="1"/>
    <col min="1807" max="1807" width="14.140625" style="38" customWidth="1"/>
    <col min="1808" max="1808" width="0" style="38" hidden="1" customWidth="1"/>
    <col min="1809" max="1809" width="11.5703125" style="38" customWidth="1"/>
    <col min="1810" max="1829" width="0" style="38" hidden="1" customWidth="1"/>
    <col min="1830" max="2049" width="11.42578125" style="38"/>
    <col min="2050" max="2050" width="15.85546875" style="38" customWidth="1"/>
    <col min="2051" max="2051" width="6" style="38" customWidth="1"/>
    <col min="2052" max="2058" width="4.7109375" style="38" customWidth="1"/>
    <col min="2059" max="2059" width="3.28515625" style="38" customWidth="1"/>
    <col min="2060" max="2060" width="5.7109375" style="38" customWidth="1"/>
    <col min="2061" max="2061" width="11.85546875" style="38" customWidth="1"/>
    <col min="2062" max="2062" width="12.5703125" style="38" customWidth="1"/>
    <col min="2063" max="2063" width="14.140625" style="38" customWidth="1"/>
    <col min="2064" max="2064" width="0" style="38" hidden="1" customWidth="1"/>
    <col min="2065" max="2065" width="11.5703125" style="38" customWidth="1"/>
    <col min="2066" max="2085" width="0" style="38" hidden="1" customWidth="1"/>
    <col min="2086" max="2305" width="11.42578125" style="38"/>
    <col min="2306" max="2306" width="15.85546875" style="38" customWidth="1"/>
    <col min="2307" max="2307" width="6" style="38" customWidth="1"/>
    <col min="2308" max="2314" width="4.7109375" style="38" customWidth="1"/>
    <col min="2315" max="2315" width="3.28515625" style="38" customWidth="1"/>
    <col min="2316" max="2316" width="5.7109375" style="38" customWidth="1"/>
    <col min="2317" max="2317" width="11.85546875" style="38" customWidth="1"/>
    <col min="2318" max="2318" width="12.5703125" style="38" customWidth="1"/>
    <col min="2319" max="2319" width="14.140625" style="38" customWidth="1"/>
    <col min="2320" max="2320" width="0" style="38" hidden="1" customWidth="1"/>
    <col min="2321" max="2321" width="11.5703125" style="38" customWidth="1"/>
    <col min="2322" max="2341" width="0" style="38" hidden="1" customWidth="1"/>
    <col min="2342" max="2561" width="11.42578125" style="38"/>
    <col min="2562" max="2562" width="15.85546875" style="38" customWidth="1"/>
    <col min="2563" max="2563" width="6" style="38" customWidth="1"/>
    <col min="2564" max="2570" width="4.7109375" style="38" customWidth="1"/>
    <col min="2571" max="2571" width="3.28515625" style="38" customWidth="1"/>
    <col min="2572" max="2572" width="5.7109375" style="38" customWidth="1"/>
    <col min="2573" max="2573" width="11.85546875" style="38" customWidth="1"/>
    <col min="2574" max="2574" width="12.5703125" style="38" customWidth="1"/>
    <col min="2575" max="2575" width="14.140625" style="38" customWidth="1"/>
    <col min="2576" max="2576" width="0" style="38" hidden="1" customWidth="1"/>
    <col min="2577" max="2577" width="11.5703125" style="38" customWidth="1"/>
    <col min="2578" max="2597" width="0" style="38" hidden="1" customWidth="1"/>
    <col min="2598" max="2817" width="11.42578125" style="38"/>
    <col min="2818" max="2818" width="15.85546875" style="38" customWidth="1"/>
    <col min="2819" max="2819" width="6" style="38" customWidth="1"/>
    <col min="2820" max="2826" width="4.7109375" style="38" customWidth="1"/>
    <col min="2827" max="2827" width="3.28515625" style="38" customWidth="1"/>
    <col min="2828" max="2828" width="5.7109375" style="38" customWidth="1"/>
    <col min="2829" max="2829" width="11.85546875" style="38" customWidth="1"/>
    <col min="2830" max="2830" width="12.5703125" style="38" customWidth="1"/>
    <col min="2831" max="2831" width="14.140625" style="38" customWidth="1"/>
    <col min="2832" max="2832" width="0" style="38" hidden="1" customWidth="1"/>
    <col min="2833" max="2833" width="11.5703125" style="38" customWidth="1"/>
    <col min="2834" max="2853" width="0" style="38" hidden="1" customWidth="1"/>
    <col min="2854" max="3073" width="11.42578125" style="38"/>
    <col min="3074" max="3074" width="15.85546875" style="38" customWidth="1"/>
    <col min="3075" max="3075" width="6" style="38" customWidth="1"/>
    <col min="3076" max="3082" width="4.7109375" style="38" customWidth="1"/>
    <col min="3083" max="3083" width="3.28515625" style="38" customWidth="1"/>
    <col min="3084" max="3084" width="5.7109375" style="38" customWidth="1"/>
    <col min="3085" max="3085" width="11.85546875" style="38" customWidth="1"/>
    <col min="3086" max="3086" width="12.5703125" style="38" customWidth="1"/>
    <col min="3087" max="3087" width="14.140625" style="38" customWidth="1"/>
    <col min="3088" max="3088" width="0" style="38" hidden="1" customWidth="1"/>
    <col min="3089" max="3089" width="11.5703125" style="38" customWidth="1"/>
    <col min="3090" max="3109" width="0" style="38" hidden="1" customWidth="1"/>
    <col min="3110" max="3329" width="11.42578125" style="38"/>
    <col min="3330" max="3330" width="15.85546875" style="38" customWidth="1"/>
    <col min="3331" max="3331" width="6" style="38" customWidth="1"/>
    <col min="3332" max="3338" width="4.7109375" style="38" customWidth="1"/>
    <col min="3339" max="3339" width="3.28515625" style="38" customWidth="1"/>
    <col min="3340" max="3340" width="5.7109375" style="38" customWidth="1"/>
    <col min="3341" max="3341" width="11.85546875" style="38" customWidth="1"/>
    <col min="3342" max="3342" width="12.5703125" style="38" customWidth="1"/>
    <col min="3343" max="3343" width="14.140625" style="38" customWidth="1"/>
    <col min="3344" max="3344" width="0" style="38" hidden="1" customWidth="1"/>
    <col min="3345" max="3345" width="11.5703125" style="38" customWidth="1"/>
    <col min="3346" max="3365" width="0" style="38" hidden="1" customWidth="1"/>
    <col min="3366" max="3585" width="11.42578125" style="38"/>
    <col min="3586" max="3586" width="15.85546875" style="38" customWidth="1"/>
    <col min="3587" max="3587" width="6" style="38" customWidth="1"/>
    <col min="3588" max="3594" width="4.7109375" style="38" customWidth="1"/>
    <col min="3595" max="3595" width="3.28515625" style="38" customWidth="1"/>
    <col min="3596" max="3596" width="5.7109375" style="38" customWidth="1"/>
    <col min="3597" max="3597" width="11.85546875" style="38" customWidth="1"/>
    <col min="3598" max="3598" width="12.5703125" style="38" customWidth="1"/>
    <col min="3599" max="3599" width="14.140625" style="38" customWidth="1"/>
    <col min="3600" max="3600" width="0" style="38" hidden="1" customWidth="1"/>
    <col min="3601" max="3601" width="11.5703125" style="38" customWidth="1"/>
    <col min="3602" max="3621" width="0" style="38" hidden="1" customWidth="1"/>
    <col min="3622" max="3841" width="11.42578125" style="38"/>
    <col min="3842" max="3842" width="15.85546875" style="38" customWidth="1"/>
    <col min="3843" max="3843" width="6" style="38" customWidth="1"/>
    <col min="3844" max="3850" width="4.7109375" style="38" customWidth="1"/>
    <col min="3851" max="3851" width="3.28515625" style="38" customWidth="1"/>
    <col min="3852" max="3852" width="5.7109375" style="38" customWidth="1"/>
    <col min="3853" max="3853" width="11.85546875" style="38" customWidth="1"/>
    <col min="3854" max="3854" width="12.5703125" style="38" customWidth="1"/>
    <col min="3855" max="3855" width="14.140625" style="38" customWidth="1"/>
    <col min="3856" max="3856" width="0" style="38" hidden="1" customWidth="1"/>
    <col min="3857" max="3857" width="11.5703125" style="38" customWidth="1"/>
    <col min="3858" max="3877" width="0" style="38" hidden="1" customWidth="1"/>
    <col min="3878" max="4097" width="11.42578125" style="38"/>
    <col min="4098" max="4098" width="15.85546875" style="38" customWidth="1"/>
    <col min="4099" max="4099" width="6" style="38" customWidth="1"/>
    <col min="4100" max="4106" width="4.7109375" style="38" customWidth="1"/>
    <col min="4107" max="4107" width="3.28515625" style="38" customWidth="1"/>
    <col min="4108" max="4108" width="5.7109375" style="38" customWidth="1"/>
    <col min="4109" max="4109" width="11.85546875" style="38" customWidth="1"/>
    <col min="4110" max="4110" width="12.5703125" style="38" customWidth="1"/>
    <col min="4111" max="4111" width="14.140625" style="38" customWidth="1"/>
    <col min="4112" max="4112" width="0" style="38" hidden="1" customWidth="1"/>
    <col min="4113" max="4113" width="11.5703125" style="38" customWidth="1"/>
    <col min="4114" max="4133" width="0" style="38" hidden="1" customWidth="1"/>
    <col min="4134" max="4353" width="11.42578125" style="38"/>
    <col min="4354" max="4354" width="15.85546875" style="38" customWidth="1"/>
    <col min="4355" max="4355" width="6" style="38" customWidth="1"/>
    <col min="4356" max="4362" width="4.7109375" style="38" customWidth="1"/>
    <col min="4363" max="4363" width="3.28515625" style="38" customWidth="1"/>
    <col min="4364" max="4364" width="5.7109375" style="38" customWidth="1"/>
    <col min="4365" max="4365" width="11.85546875" style="38" customWidth="1"/>
    <col min="4366" max="4366" width="12.5703125" style="38" customWidth="1"/>
    <col min="4367" max="4367" width="14.140625" style="38" customWidth="1"/>
    <col min="4368" max="4368" width="0" style="38" hidden="1" customWidth="1"/>
    <col min="4369" max="4369" width="11.5703125" style="38" customWidth="1"/>
    <col min="4370" max="4389" width="0" style="38" hidden="1" customWidth="1"/>
    <col min="4390" max="4609" width="11.42578125" style="38"/>
    <col min="4610" max="4610" width="15.85546875" style="38" customWidth="1"/>
    <col min="4611" max="4611" width="6" style="38" customWidth="1"/>
    <col min="4612" max="4618" width="4.7109375" style="38" customWidth="1"/>
    <col min="4619" max="4619" width="3.28515625" style="38" customWidth="1"/>
    <col min="4620" max="4620" width="5.7109375" style="38" customWidth="1"/>
    <col min="4621" max="4621" width="11.85546875" style="38" customWidth="1"/>
    <col min="4622" max="4622" width="12.5703125" style="38" customWidth="1"/>
    <col min="4623" max="4623" width="14.140625" style="38" customWidth="1"/>
    <col min="4624" max="4624" width="0" style="38" hidden="1" customWidth="1"/>
    <col min="4625" max="4625" width="11.5703125" style="38" customWidth="1"/>
    <col min="4626" max="4645" width="0" style="38" hidden="1" customWidth="1"/>
    <col min="4646" max="4865" width="11.42578125" style="38"/>
    <col min="4866" max="4866" width="15.85546875" style="38" customWidth="1"/>
    <col min="4867" max="4867" width="6" style="38" customWidth="1"/>
    <col min="4868" max="4874" width="4.7109375" style="38" customWidth="1"/>
    <col min="4875" max="4875" width="3.28515625" style="38" customWidth="1"/>
    <col min="4876" max="4876" width="5.7109375" style="38" customWidth="1"/>
    <col min="4877" max="4877" width="11.85546875" style="38" customWidth="1"/>
    <col min="4878" max="4878" width="12.5703125" style="38" customWidth="1"/>
    <col min="4879" max="4879" width="14.140625" style="38" customWidth="1"/>
    <col min="4880" max="4880" width="0" style="38" hidden="1" customWidth="1"/>
    <col min="4881" max="4881" width="11.5703125" style="38" customWidth="1"/>
    <col min="4882" max="4901" width="0" style="38" hidden="1" customWidth="1"/>
    <col min="4902" max="5121" width="11.42578125" style="38"/>
    <col min="5122" max="5122" width="15.85546875" style="38" customWidth="1"/>
    <col min="5123" max="5123" width="6" style="38" customWidth="1"/>
    <col min="5124" max="5130" width="4.7109375" style="38" customWidth="1"/>
    <col min="5131" max="5131" width="3.28515625" style="38" customWidth="1"/>
    <col min="5132" max="5132" width="5.7109375" style="38" customWidth="1"/>
    <col min="5133" max="5133" width="11.85546875" style="38" customWidth="1"/>
    <col min="5134" max="5134" width="12.5703125" style="38" customWidth="1"/>
    <col min="5135" max="5135" width="14.140625" style="38" customWidth="1"/>
    <col min="5136" max="5136" width="0" style="38" hidden="1" customWidth="1"/>
    <col min="5137" max="5137" width="11.5703125" style="38" customWidth="1"/>
    <col min="5138" max="5157" width="0" style="38" hidden="1" customWidth="1"/>
    <col min="5158" max="5377" width="11.42578125" style="38"/>
    <col min="5378" max="5378" width="15.85546875" style="38" customWidth="1"/>
    <col min="5379" max="5379" width="6" style="38" customWidth="1"/>
    <col min="5380" max="5386" width="4.7109375" style="38" customWidth="1"/>
    <col min="5387" max="5387" width="3.28515625" style="38" customWidth="1"/>
    <col min="5388" max="5388" width="5.7109375" style="38" customWidth="1"/>
    <col min="5389" max="5389" width="11.85546875" style="38" customWidth="1"/>
    <col min="5390" max="5390" width="12.5703125" style="38" customWidth="1"/>
    <col min="5391" max="5391" width="14.140625" style="38" customWidth="1"/>
    <col min="5392" max="5392" width="0" style="38" hidden="1" customWidth="1"/>
    <col min="5393" max="5393" width="11.5703125" style="38" customWidth="1"/>
    <col min="5394" max="5413" width="0" style="38" hidden="1" customWidth="1"/>
    <col min="5414" max="5633" width="11.42578125" style="38"/>
    <col min="5634" max="5634" width="15.85546875" style="38" customWidth="1"/>
    <col min="5635" max="5635" width="6" style="38" customWidth="1"/>
    <col min="5636" max="5642" width="4.7109375" style="38" customWidth="1"/>
    <col min="5643" max="5643" width="3.28515625" style="38" customWidth="1"/>
    <col min="5644" max="5644" width="5.7109375" style="38" customWidth="1"/>
    <col min="5645" max="5645" width="11.85546875" style="38" customWidth="1"/>
    <col min="5646" max="5646" width="12.5703125" style="38" customWidth="1"/>
    <col min="5647" max="5647" width="14.140625" style="38" customWidth="1"/>
    <col min="5648" max="5648" width="0" style="38" hidden="1" customWidth="1"/>
    <col min="5649" max="5649" width="11.5703125" style="38" customWidth="1"/>
    <col min="5650" max="5669" width="0" style="38" hidden="1" customWidth="1"/>
    <col min="5670" max="5889" width="11.42578125" style="38"/>
    <col min="5890" max="5890" width="15.85546875" style="38" customWidth="1"/>
    <col min="5891" max="5891" width="6" style="38" customWidth="1"/>
    <col min="5892" max="5898" width="4.7109375" style="38" customWidth="1"/>
    <col min="5899" max="5899" width="3.28515625" style="38" customWidth="1"/>
    <col min="5900" max="5900" width="5.7109375" style="38" customWidth="1"/>
    <col min="5901" max="5901" width="11.85546875" style="38" customWidth="1"/>
    <col min="5902" max="5902" width="12.5703125" style="38" customWidth="1"/>
    <col min="5903" max="5903" width="14.140625" style="38" customWidth="1"/>
    <col min="5904" max="5904" width="0" style="38" hidden="1" customWidth="1"/>
    <col min="5905" max="5905" width="11.5703125" style="38" customWidth="1"/>
    <col min="5906" max="5925" width="0" style="38" hidden="1" customWidth="1"/>
    <col min="5926" max="6145" width="11.42578125" style="38"/>
    <col min="6146" max="6146" width="15.85546875" style="38" customWidth="1"/>
    <col min="6147" max="6147" width="6" style="38" customWidth="1"/>
    <col min="6148" max="6154" width="4.7109375" style="38" customWidth="1"/>
    <col min="6155" max="6155" width="3.28515625" style="38" customWidth="1"/>
    <col min="6156" max="6156" width="5.7109375" style="38" customWidth="1"/>
    <col min="6157" max="6157" width="11.85546875" style="38" customWidth="1"/>
    <col min="6158" max="6158" width="12.5703125" style="38" customWidth="1"/>
    <col min="6159" max="6159" width="14.140625" style="38" customWidth="1"/>
    <col min="6160" max="6160" width="0" style="38" hidden="1" customWidth="1"/>
    <col min="6161" max="6161" width="11.5703125" style="38" customWidth="1"/>
    <col min="6162" max="6181" width="0" style="38" hidden="1" customWidth="1"/>
    <col min="6182" max="6401" width="11.42578125" style="38"/>
    <col min="6402" max="6402" width="15.85546875" style="38" customWidth="1"/>
    <col min="6403" max="6403" width="6" style="38" customWidth="1"/>
    <col min="6404" max="6410" width="4.7109375" style="38" customWidth="1"/>
    <col min="6411" max="6411" width="3.28515625" style="38" customWidth="1"/>
    <col min="6412" max="6412" width="5.7109375" style="38" customWidth="1"/>
    <col min="6413" max="6413" width="11.85546875" style="38" customWidth="1"/>
    <col min="6414" max="6414" width="12.5703125" style="38" customWidth="1"/>
    <col min="6415" max="6415" width="14.140625" style="38" customWidth="1"/>
    <col min="6416" max="6416" width="0" style="38" hidden="1" customWidth="1"/>
    <col min="6417" max="6417" width="11.5703125" style="38" customWidth="1"/>
    <col min="6418" max="6437" width="0" style="38" hidden="1" customWidth="1"/>
    <col min="6438" max="6657" width="11.42578125" style="38"/>
    <col min="6658" max="6658" width="15.85546875" style="38" customWidth="1"/>
    <col min="6659" max="6659" width="6" style="38" customWidth="1"/>
    <col min="6660" max="6666" width="4.7109375" style="38" customWidth="1"/>
    <col min="6667" max="6667" width="3.28515625" style="38" customWidth="1"/>
    <col min="6668" max="6668" width="5.7109375" style="38" customWidth="1"/>
    <col min="6669" max="6669" width="11.85546875" style="38" customWidth="1"/>
    <col min="6670" max="6670" width="12.5703125" style="38" customWidth="1"/>
    <col min="6671" max="6671" width="14.140625" style="38" customWidth="1"/>
    <col min="6672" max="6672" width="0" style="38" hidden="1" customWidth="1"/>
    <col min="6673" max="6673" width="11.5703125" style="38" customWidth="1"/>
    <col min="6674" max="6693" width="0" style="38" hidden="1" customWidth="1"/>
    <col min="6694" max="6913" width="11.42578125" style="38"/>
    <col min="6914" max="6914" width="15.85546875" style="38" customWidth="1"/>
    <col min="6915" max="6915" width="6" style="38" customWidth="1"/>
    <col min="6916" max="6922" width="4.7109375" style="38" customWidth="1"/>
    <col min="6923" max="6923" width="3.28515625" style="38" customWidth="1"/>
    <col min="6924" max="6924" width="5.7109375" style="38" customWidth="1"/>
    <col min="6925" max="6925" width="11.85546875" style="38" customWidth="1"/>
    <col min="6926" max="6926" width="12.5703125" style="38" customWidth="1"/>
    <col min="6927" max="6927" width="14.140625" style="38" customWidth="1"/>
    <col min="6928" max="6928" width="0" style="38" hidden="1" customWidth="1"/>
    <col min="6929" max="6929" width="11.5703125" style="38" customWidth="1"/>
    <col min="6930" max="6949" width="0" style="38" hidden="1" customWidth="1"/>
    <col min="6950" max="7169" width="11.42578125" style="38"/>
    <col min="7170" max="7170" width="15.85546875" style="38" customWidth="1"/>
    <col min="7171" max="7171" width="6" style="38" customWidth="1"/>
    <col min="7172" max="7178" width="4.7109375" style="38" customWidth="1"/>
    <col min="7179" max="7179" width="3.28515625" style="38" customWidth="1"/>
    <col min="7180" max="7180" width="5.7109375" style="38" customWidth="1"/>
    <col min="7181" max="7181" width="11.85546875" style="38" customWidth="1"/>
    <col min="7182" max="7182" width="12.5703125" style="38" customWidth="1"/>
    <col min="7183" max="7183" width="14.140625" style="38" customWidth="1"/>
    <col min="7184" max="7184" width="0" style="38" hidden="1" customWidth="1"/>
    <col min="7185" max="7185" width="11.5703125" style="38" customWidth="1"/>
    <col min="7186" max="7205" width="0" style="38" hidden="1" customWidth="1"/>
    <col min="7206" max="7425" width="11.42578125" style="38"/>
    <col min="7426" max="7426" width="15.85546875" style="38" customWidth="1"/>
    <col min="7427" max="7427" width="6" style="38" customWidth="1"/>
    <col min="7428" max="7434" width="4.7109375" style="38" customWidth="1"/>
    <col min="7435" max="7435" width="3.28515625" style="38" customWidth="1"/>
    <col min="7436" max="7436" width="5.7109375" style="38" customWidth="1"/>
    <col min="7437" max="7437" width="11.85546875" style="38" customWidth="1"/>
    <col min="7438" max="7438" width="12.5703125" style="38" customWidth="1"/>
    <col min="7439" max="7439" width="14.140625" style="38" customWidth="1"/>
    <col min="7440" max="7440" width="0" style="38" hidden="1" customWidth="1"/>
    <col min="7441" max="7441" width="11.5703125" style="38" customWidth="1"/>
    <col min="7442" max="7461" width="0" style="38" hidden="1" customWidth="1"/>
    <col min="7462" max="7681" width="11.42578125" style="38"/>
    <col min="7682" max="7682" width="15.85546875" style="38" customWidth="1"/>
    <col min="7683" max="7683" width="6" style="38" customWidth="1"/>
    <col min="7684" max="7690" width="4.7109375" style="38" customWidth="1"/>
    <col min="7691" max="7691" width="3.28515625" style="38" customWidth="1"/>
    <col min="7692" max="7692" width="5.7109375" style="38" customWidth="1"/>
    <col min="7693" max="7693" width="11.85546875" style="38" customWidth="1"/>
    <col min="7694" max="7694" width="12.5703125" style="38" customWidth="1"/>
    <col min="7695" max="7695" width="14.140625" style="38" customWidth="1"/>
    <col min="7696" max="7696" width="0" style="38" hidden="1" customWidth="1"/>
    <col min="7697" max="7697" width="11.5703125" style="38" customWidth="1"/>
    <col min="7698" max="7717" width="0" style="38" hidden="1" customWidth="1"/>
    <col min="7718" max="7937" width="11.42578125" style="38"/>
    <col min="7938" max="7938" width="15.85546875" style="38" customWidth="1"/>
    <col min="7939" max="7939" width="6" style="38" customWidth="1"/>
    <col min="7940" max="7946" width="4.7109375" style="38" customWidth="1"/>
    <col min="7947" max="7947" width="3.28515625" style="38" customWidth="1"/>
    <col min="7948" max="7948" width="5.7109375" style="38" customWidth="1"/>
    <col min="7949" max="7949" width="11.85546875" style="38" customWidth="1"/>
    <col min="7950" max="7950" width="12.5703125" style="38" customWidth="1"/>
    <col min="7951" max="7951" width="14.140625" style="38" customWidth="1"/>
    <col min="7952" max="7952" width="0" style="38" hidden="1" customWidth="1"/>
    <col min="7953" max="7953" width="11.5703125" style="38" customWidth="1"/>
    <col min="7954" max="7973" width="0" style="38" hidden="1" customWidth="1"/>
    <col min="7974" max="8193" width="11.42578125" style="38"/>
    <col min="8194" max="8194" width="15.85546875" style="38" customWidth="1"/>
    <col min="8195" max="8195" width="6" style="38" customWidth="1"/>
    <col min="8196" max="8202" width="4.7109375" style="38" customWidth="1"/>
    <col min="8203" max="8203" width="3.28515625" style="38" customWidth="1"/>
    <col min="8204" max="8204" width="5.7109375" style="38" customWidth="1"/>
    <col min="8205" max="8205" width="11.85546875" style="38" customWidth="1"/>
    <col min="8206" max="8206" width="12.5703125" style="38" customWidth="1"/>
    <col min="8207" max="8207" width="14.140625" style="38" customWidth="1"/>
    <col min="8208" max="8208" width="0" style="38" hidden="1" customWidth="1"/>
    <col min="8209" max="8209" width="11.5703125" style="38" customWidth="1"/>
    <col min="8210" max="8229" width="0" style="38" hidden="1" customWidth="1"/>
    <col min="8230" max="8449" width="11.42578125" style="38"/>
    <col min="8450" max="8450" width="15.85546875" style="38" customWidth="1"/>
    <col min="8451" max="8451" width="6" style="38" customWidth="1"/>
    <col min="8452" max="8458" width="4.7109375" style="38" customWidth="1"/>
    <col min="8459" max="8459" width="3.28515625" style="38" customWidth="1"/>
    <col min="8460" max="8460" width="5.7109375" style="38" customWidth="1"/>
    <col min="8461" max="8461" width="11.85546875" style="38" customWidth="1"/>
    <col min="8462" max="8462" width="12.5703125" style="38" customWidth="1"/>
    <col min="8463" max="8463" width="14.140625" style="38" customWidth="1"/>
    <col min="8464" max="8464" width="0" style="38" hidden="1" customWidth="1"/>
    <col min="8465" max="8465" width="11.5703125" style="38" customWidth="1"/>
    <col min="8466" max="8485" width="0" style="38" hidden="1" customWidth="1"/>
    <col min="8486" max="8705" width="11.42578125" style="38"/>
    <col min="8706" max="8706" width="15.85546875" style="38" customWidth="1"/>
    <col min="8707" max="8707" width="6" style="38" customWidth="1"/>
    <col min="8708" max="8714" width="4.7109375" style="38" customWidth="1"/>
    <col min="8715" max="8715" width="3.28515625" style="38" customWidth="1"/>
    <col min="8716" max="8716" width="5.7109375" style="38" customWidth="1"/>
    <col min="8717" max="8717" width="11.85546875" style="38" customWidth="1"/>
    <col min="8718" max="8718" width="12.5703125" style="38" customWidth="1"/>
    <col min="8719" max="8719" width="14.140625" style="38" customWidth="1"/>
    <col min="8720" max="8720" width="0" style="38" hidden="1" customWidth="1"/>
    <col min="8721" max="8721" width="11.5703125" style="38" customWidth="1"/>
    <col min="8722" max="8741" width="0" style="38" hidden="1" customWidth="1"/>
    <col min="8742" max="8961" width="11.42578125" style="38"/>
    <col min="8962" max="8962" width="15.85546875" style="38" customWidth="1"/>
    <col min="8963" max="8963" width="6" style="38" customWidth="1"/>
    <col min="8964" max="8970" width="4.7109375" style="38" customWidth="1"/>
    <col min="8971" max="8971" width="3.28515625" style="38" customWidth="1"/>
    <col min="8972" max="8972" width="5.7109375" style="38" customWidth="1"/>
    <col min="8973" max="8973" width="11.85546875" style="38" customWidth="1"/>
    <col min="8974" max="8974" width="12.5703125" style="38" customWidth="1"/>
    <col min="8975" max="8975" width="14.140625" style="38" customWidth="1"/>
    <col min="8976" max="8976" width="0" style="38" hidden="1" customWidth="1"/>
    <col min="8977" max="8977" width="11.5703125" style="38" customWidth="1"/>
    <col min="8978" max="8997" width="0" style="38" hidden="1" customWidth="1"/>
    <col min="8998" max="9217" width="11.42578125" style="38"/>
    <col min="9218" max="9218" width="15.85546875" style="38" customWidth="1"/>
    <col min="9219" max="9219" width="6" style="38" customWidth="1"/>
    <col min="9220" max="9226" width="4.7109375" style="38" customWidth="1"/>
    <col min="9227" max="9227" width="3.28515625" style="38" customWidth="1"/>
    <col min="9228" max="9228" width="5.7109375" style="38" customWidth="1"/>
    <col min="9229" max="9229" width="11.85546875" style="38" customWidth="1"/>
    <col min="9230" max="9230" width="12.5703125" style="38" customWidth="1"/>
    <col min="9231" max="9231" width="14.140625" style="38" customWidth="1"/>
    <col min="9232" max="9232" width="0" style="38" hidden="1" customWidth="1"/>
    <col min="9233" max="9233" width="11.5703125" style="38" customWidth="1"/>
    <col min="9234" max="9253" width="0" style="38" hidden="1" customWidth="1"/>
    <col min="9254" max="9473" width="11.42578125" style="38"/>
    <col min="9474" max="9474" width="15.85546875" style="38" customWidth="1"/>
    <col min="9475" max="9475" width="6" style="38" customWidth="1"/>
    <col min="9476" max="9482" width="4.7109375" style="38" customWidth="1"/>
    <col min="9483" max="9483" width="3.28515625" style="38" customWidth="1"/>
    <col min="9484" max="9484" width="5.7109375" style="38" customWidth="1"/>
    <col min="9485" max="9485" width="11.85546875" style="38" customWidth="1"/>
    <col min="9486" max="9486" width="12.5703125" style="38" customWidth="1"/>
    <col min="9487" max="9487" width="14.140625" style="38" customWidth="1"/>
    <col min="9488" max="9488" width="0" style="38" hidden="1" customWidth="1"/>
    <col min="9489" max="9489" width="11.5703125" style="38" customWidth="1"/>
    <col min="9490" max="9509" width="0" style="38" hidden="1" customWidth="1"/>
    <col min="9510" max="9729" width="11.42578125" style="38"/>
    <col min="9730" max="9730" width="15.85546875" style="38" customWidth="1"/>
    <col min="9731" max="9731" width="6" style="38" customWidth="1"/>
    <col min="9732" max="9738" width="4.7109375" style="38" customWidth="1"/>
    <col min="9739" max="9739" width="3.28515625" style="38" customWidth="1"/>
    <col min="9740" max="9740" width="5.7109375" style="38" customWidth="1"/>
    <col min="9741" max="9741" width="11.85546875" style="38" customWidth="1"/>
    <col min="9742" max="9742" width="12.5703125" style="38" customWidth="1"/>
    <col min="9743" max="9743" width="14.140625" style="38" customWidth="1"/>
    <col min="9744" max="9744" width="0" style="38" hidden="1" customWidth="1"/>
    <col min="9745" max="9745" width="11.5703125" style="38" customWidth="1"/>
    <col min="9746" max="9765" width="0" style="38" hidden="1" customWidth="1"/>
    <col min="9766" max="9985" width="11.42578125" style="38"/>
    <col min="9986" max="9986" width="15.85546875" style="38" customWidth="1"/>
    <col min="9987" max="9987" width="6" style="38" customWidth="1"/>
    <col min="9988" max="9994" width="4.7109375" style="38" customWidth="1"/>
    <col min="9995" max="9995" width="3.28515625" style="38" customWidth="1"/>
    <col min="9996" max="9996" width="5.7109375" style="38" customWidth="1"/>
    <col min="9997" max="9997" width="11.85546875" style="38" customWidth="1"/>
    <col min="9998" max="9998" width="12.5703125" style="38" customWidth="1"/>
    <col min="9999" max="9999" width="14.140625" style="38" customWidth="1"/>
    <col min="10000" max="10000" width="0" style="38" hidden="1" customWidth="1"/>
    <col min="10001" max="10001" width="11.5703125" style="38" customWidth="1"/>
    <col min="10002" max="10021" width="0" style="38" hidden="1" customWidth="1"/>
    <col min="10022" max="10241" width="11.42578125" style="38"/>
    <col min="10242" max="10242" width="15.85546875" style="38" customWidth="1"/>
    <col min="10243" max="10243" width="6" style="38" customWidth="1"/>
    <col min="10244" max="10250" width="4.7109375" style="38" customWidth="1"/>
    <col min="10251" max="10251" width="3.28515625" style="38" customWidth="1"/>
    <col min="10252" max="10252" width="5.7109375" style="38" customWidth="1"/>
    <col min="10253" max="10253" width="11.85546875" style="38" customWidth="1"/>
    <col min="10254" max="10254" width="12.5703125" style="38" customWidth="1"/>
    <col min="10255" max="10255" width="14.140625" style="38" customWidth="1"/>
    <col min="10256" max="10256" width="0" style="38" hidden="1" customWidth="1"/>
    <col min="10257" max="10257" width="11.5703125" style="38" customWidth="1"/>
    <col min="10258" max="10277" width="0" style="38" hidden="1" customWidth="1"/>
    <col min="10278" max="10497" width="11.42578125" style="38"/>
    <col min="10498" max="10498" width="15.85546875" style="38" customWidth="1"/>
    <col min="10499" max="10499" width="6" style="38" customWidth="1"/>
    <col min="10500" max="10506" width="4.7109375" style="38" customWidth="1"/>
    <col min="10507" max="10507" width="3.28515625" style="38" customWidth="1"/>
    <col min="10508" max="10508" width="5.7109375" style="38" customWidth="1"/>
    <col min="10509" max="10509" width="11.85546875" style="38" customWidth="1"/>
    <col min="10510" max="10510" width="12.5703125" style="38" customWidth="1"/>
    <col min="10511" max="10511" width="14.140625" style="38" customWidth="1"/>
    <col min="10512" max="10512" width="0" style="38" hidden="1" customWidth="1"/>
    <col min="10513" max="10513" width="11.5703125" style="38" customWidth="1"/>
    <col min="10514" max="10533" width="0" style="38" hidden="1" customWidth="1"/>
    <col min="10534" max="10753" width="11.42578125" style="38"/>
    <col min="10754" max="10754" width="15.85546875" style="38" customWidth="1"/>
    <col min="10755" max="10755" width="6" style="38" customWidth="1"/>
    <col min="10756" max="10762" width="4.7109375" style="38" customWidth="1"/>
    <col min="10763" max="10763" width="3.28515625" style="38" customWidth="1"/>
    <col min="10764" max="10764" width="5.7109375" style="38" customWidth="1"/>
    <col min="10765" max="10765" width="11.85546875" style="38" customWidth="1"/>
    <col min="10766" max="10766" width="12.5703125" style="38" customWidth="1"/>
    <col min="10767" max="10767" width="14.140625" style="38" customWidth="1"/>
    <col min="10768" max="10768" width="0" style="38" hidden="1" customWidth="1"/>
    <col min="10769" max="10769" width="11.5703125" style="38" customWidth="1"/>
    <col min="10770" max="10789" width="0" style="38" hidden="1" customWidth="1"/>
    <col min="10790" max="11009" width="11.42578125" style="38"/>
    <col min="11010" max="11010" width="15.85546875" style="38" customWidth="1"/>
    <col min="11011" max="11011" width="6" style="38" customWidth="1"/>
    <col min="11012" max="11018" width="4.7109375" style="38" customWidth="1"/>
    <col min="11019" max="11019" width="3.28515625" style="38" customWidth="1"/>
    <col min="11020" max="11020" width="5.7109375" style="38" customWidth="1"/>
    <col min="11021" max="11021" width="11.85546875" style="38" customWidth="1"/>
    <col min="11022" max="11022" width="12.5703125" style="38" customWidth="1"/>
    <col min="11023" max="11023" width="14.140625" style="38" customWidth="1"/>
    <col min="11024" max="11024" width="0" style="38" hidden="1" customWidth="1"/>
    <col min="11025" max="11025" width="11.5703125" style="38" customWidth="1"/>
    <col min="11026" max="11045" width="0" style="38" hidden="1" customWidth="1"/>
    <col min="11046" max="11265" width="11.42578125" style="38"/>
    <col min="11266" max="11266" width="15.85546875" style="38" customWidth="1"/>
    <col min="11267" max="11267" width="6" style="38" customWidth="1"/>
    <col min="11268" max="11274" width="4.7109375" style="38" customWidth="1"/>
    <col min="11275" max="11275" width="3.28515625" style="38" customWidth="1"/>
    <col min="11276" max="11276" width="5.7109375" style="38" customWidth="1"/>
    <col min="11277" max="11277" width="11.85546875" style="38" customWidth="1"/>
    <col min="11278" max="11278" width="12.5703125" style="38" customWidth="1"/>
    <col min="11279" max="11279" width="14.140625" style="38" customWidth="1"/>
    <col min="11280" max="11280" width="0" style="38" hidden="1" customWidth="1"/>
    <col min="11281" max="11281" width="11.5703125" style="38" customWidth="1"/>
    <col min="11282" max="11301" width="0" style="38" hidden="1" customWidth="1"/>
    <col min="11302" max="11521" width="11.42578125" style="38"/>
    <col min="11522" max="11522" width="15.85546875" style="38" customWidth="1"/>
    <col min="11523" max="11523" width="6" style="38" customWidth="1"/>
    <col min="11524" max="11530" width="4.7109375" style="38" customWidth="1"/>
    <col min="11531" max="11531" width="3.28515625" style="38" customWidth="1"/>
    <col min="11532" max="11532" width="5.7109375" style="38" customWidth="1"/>
    <col min="11533" max="11533" width="11.85546875" style="38" customWidth="1"/>
    <col min="11534" max="11534" width="12.5703125" style="38" customWidth="1"/>
    <col min="11535" max="11535" width="14.140625" style="38" customWidth="1"/>
    <col min="11536" max="11536" width="0" style="38" hidden="1" customWidth="1"/>
    <col min="11537" max="11537" width="11.5703125" style="38" customWidth="1"/>
    <col min="11538" max="11557" width="0" style="38" hidden="1" customWidth="1"/>
    <col min="11558" max="11777" width="11.42578125" style="38"/>
    <col min="11778" max="11778" width="15.85546875" style="38" customWidth="1"/>
    <col min="11779" max="11779" width="6" style="38" customWidth="1"/>
    <col min="11780" max="11786" width="4.7109375" style="38" customWidth="1"/>
    <col min="11787" max="11787" width="3.28515625" style="38" customWidth="1"/>
    <col min="11788" max="11788" width="5.7109375" style="38" customWidth="1"/>
    <col min="11789" max="11789" width="11.85546875" style="38" customWidth="1"/>
    <col min="11790" max="11790" width="12.5703125" style="38" customWidth="1"/>
    <col min="11791" max="11791" width="14.140625" style="38" customWidth="1"/>
    <col min="11792" max="11792" width="0" style="38" hidden="1" customWidth="1"/>
    <col min="11793" max="11793" width="11.5703125" style="38" customWidth="1"/>
    <col min="11794" max="11813" width="0" style="38" hidden="1" customWidth="1"/>
    <col min="11814" max="12033" width="11.42578125" style="38"/>
    <col min="12034" max="12034" width="15.85546875" style="38" customWidth="1"/>
    <col min="12035" max="12035" width="6" style="38" customWidth="1"/>
    <col min="12036" max="12042" width="4.7109375" style="38" customWidth="1"/>
    <col min="12043" max="12043" width="3.28515625" style="38" customWidth="1"/>
    <col min="12044" max="12044" width="5.7109375" style="38" customWidth="1"/>
    <col min="12045" max="12045" width="11.85546875" style="38" customWidth="1"/>
    <col min="12046" max="12046" width="12.5703125" style="38" customWidth="1"/>
    <col min="12047" max="12047" width="14.140625" style="38" customWidth="1"/>
    <col min="12048" max="12048" width="0" style="38" hidden="1" customWidth="1"/>
    <col min="12049" max="12049" width="11.5703125" style="38" customWidth="1"/>
    <col min="12050" max="12069" width="0" style="38" hidden="1" customWidth="1"/>
    <col min="12070" max="12289" width="11.42578125" style="38"/>
    <col min="12290" max="12290" width="15.85546875" style="38" customWidth="1"/>
    <col min="12291" max="12291" width="6" style="38" customWidth="1"/>
    <col min="12292" max="12298" width="4.7109375" style="38" customWidth="1"/>
    <col min="12299" max="12299" width="3.28515625" style="38" customWidth="1"/>
    <col min="12300" max="12300" width="5.7109375" style="38" customWidth="1"/>
    <col min="12301" max="12301" width="11.85546875" style="38" customWidth="1"/>
    <col min="12302" max="12302" width="12.5703125" style="38" customWidth="1"/>
    <col min="12303" max="12303" width="14.140625" style="38" customWidth="1"/>
    <col min="12304" max="12304" width="0" style="38" hidden="1" customWidth="1"/>
    <col min="12305" max="12305" width="11.5703125" style="38" customWidth="1"/>
    <col min="12306" max="12325" width="0" style="38" hidden="1" customWidth="1"/>
    <col min="12326" max="12545" width="11.42578125" style="38"/>
    <col min="12546" max="12546" width="15.85546875" style="38" customWidth="1"/>
    <col min="12547" max="12547" width="6" style="38" customWidth="1"/>
    <col min="12548" max="12554" width="4.7109375" style="38" customWidth="1"/>
    <col min="12555" max="12555" width="3.28515625" style="38" customWidth="1"/>
    <col min="12556" max="12556" width="5.7109375" style="38" customWidth="1"/>
    <col min="12557" max="12557" width="11.85546875" style="38" customWidth="1"/>
    <col min="12558" max="12558" width="12.5703125" style="38" customWidth="1"/>
    <col min="12559" max="12559" width="14.140625" style="38" customWidth="1"/>
    <col min="12560" max="12560" width="0" style="38" hidden="1" customWidth="1"/>
    <col min="12561" max="12561" width="11.5703125" style="38" customWidth="1"/>
    <col min="12562" max="12581" width="0" style="38" hidden="1" customWidth="1"/>
    <col min="12582" max="12801" width="11.42578125" style="38"/>
    <col min="12802" max="12802" width="15.85546875" style="38" customWidth="1"/>
    <col min="12803" max="12803" width="6" style="38" customWidth="1"/>
    <col min="12804" max="12810" width="4.7109375" style="38" customWidth="1"/>
    <col min="12811" max="12811" width="3.28515625" style="38" customWidth="1"/>
    <col min="12812" max="12812" width="5.7109375" style="38" customWidth="1"/>
    <col min="12813" max="12813" width="11.85546875" style="38" customWidth="1"/>
    <col min="12814" max="12814" width="12.5703125" style="38" customWidth="1"/>
    <col min="12815" max="12815" width="14.140625" style="38" customWidth="1"/>
    <col min="12816" max="12816" width="0" style="38" hidden="1" customWidth="1"/>
    <col min="12817" max="12817" width="11.5703125" style="38" customWidth="1"/>
    <col min="12818" max="12837" width="0" style="38" hidden="1" customWidth="1"/>
    <col min="12838" max="13057" width="11.42578125" style="38"/>
    <col min="13058" max="13058" width="15.85546875" style="38" customWidth="1"/>
    <col min="13059" max="13059" width="6" style="38" customWidth="1"/>
    <col min="13060" max="13066" width="4.7109375" style="38" customWidth="1"/>
    <col min="13067" max="13067" width="3.28515625" style="38" customWidth="1"/>
    <col min="13068" max="13068" width="5.7109375" style="38" customWidth="1"/>
    <col min="13069" max="13069" width="11.85546875" style="38" customWidth="1"/>
    <col min="13070" max="13070" width="12.5703125" style="38" customWidth="1"/>
    <col min="13071" max="13071" width="14.140625" style="38" customWidth="1"/>
    <col min="13072" max="13072" width="0" style="38" hidden="1" customWidth="1"/>
    <col min="13073" max="13073" width="11.5703125" style="38" customWidth="1"/>
    <col min="13074" max="13093" width="0" style="38" hidden="1" customWidth="1"/>
    <col min="13094" max="13313" width="11.42578125" style="38"/>
    <col min="13314" max="13314" width="15.85546875" style="38" customWidth="1"/>
    <col min="13315" max="13315" width="6" style="38" customWidth="1"/>
    <col min="13316" max="13322" width="4.7109375" style="38" customWidth="1"/>
    <col min="13323" max="13323" width="3.28515625" style="38" customWidth="1"/>
    <col min="13324" max="13324" width="5.7109375" style="38" customWidth="1"/>
    <col min="13325" max="13325" width="11.85546875" style="38" customWidth="1"/>
    <col min="13326" max="13326" width="12.5703125" style="38" customWidth="1"/>
    <col min="13327" max="13327" width="14.140625" style="38" customWidth="1"/>
    <col min="13328" max="13328" width="0" style="38" hidden="1" customWidth="1"/>
    <col min="13329" max="13329" width="11.5703125" style="38" customWidth="1"/>
    <col min="13330" max="13349" width="0" style="38" hidden="1" customWidth="1"/>
    <col min="13350" max="13569" width="11.42578125" style="38"/>
    <col min="13570" max="13570" width="15.85546875" style="38" customWidth="1"/>
    <col min="13571" max="13571" width="6" style="38" customWidth="1"/>
    <col min="13572" max="13578" width="4.7109375" style="38" customWidth="1"/>
    <col min="13579" max="13579" width="3.28515625" style="38" customWidth="1"/>
    <col min="13580" max="13580" width="5.7109375" style="38" customWidth="1"/>
    <col min="13581" max="13581" width="11.85546875" style="38" customWidth="1"/>
    <col min="13582" max="13582" width="12.5703125" style="38" customWidth="1"/>
    <col min="13583" max="13583" width="14.140625" style="38" customWidth="1"/>
    <col min="13584" max="13584" width="0" style="38" hidden="1" customWidth="1"/>
    <col min="13585" max="13585" width="11.5703125" style="38" customWidth="1"/>
    <col min="13586" max="13605" width="0" style="38" hidden="1" customWidth="1"/>
    <col min="13606" max="13825" width="11.42578125" style="38"/>
    <col min="13826" max="13826" width="15.85546875" style="38" customWidth="1"/>
    <col min="13827" max="13827" width="6" style="38" customWidth="1"/>
    <col min="13828" max="13834" width="4.7109375" style="38" customWidth="1"/>
    <col min="13835" max="13835" width="3.28515625" style="38" customWidth="1"/>
    <col min="13836" max="13836" width="5.7109375" style="38" customWidth="1"/>
    <col min="13837" max="13837" width="11.85546875" style="38" customWidth="1"/>
    <col min="13838" max="13838" width="12.5703125" style="38" customWidth="1"/>
    <col min="13839" max="13839" width="14.140625" style="38" customWidth="1"/>
    <col min="13840" max="13840" width="0" style="38" hidden="1" customWidth="1"/>
    <col min="13841" max="13841" width="11.5703125" style="38" customWidth="1"/>
    <col min="13842" max="13861" width="0" style="38" hidden="1" customWidth="1"/>
    <col min="13862" max="14081" width="11.42578125" style="38"/>
    <col min="14082" max="14082" width="15.85546875" style="38" customWidth="1"/>
    <col min="14083" max="14083" width="6" style="38" customWidth="1"/>
    <col min="14084" max="14090" width="4.7109375" style="38" customWidth="1"/>
    <col min="14091" max="14091" width="3.28515625" style="38" customWidth="1"/>
    <col min="14092" max="14092" width="5.7109375" style="38" customWidth="1"/>
    <col min="14093" max="14093" width="11.85546875" style="38" customWidth="1"/>
    <col min="14094" max="14094" width="12.5703125" style="38" customWidth="1"/>
    <col min="14095" max="14095" width="14.140625" style="38" customWidth="1"/>
    <col min="14096" max="14096" width="0" style="38" hidden="1" customWidth="1"/>
    <col min="14097" max="14097" width="11.5703125" style="38" customWidth="1"/>
    <col min="14098" max="14117" width="0" style="38" hidden="1" customWidth="1"/>
    <col min="14118" max="14337" width="11.42578125" style="38"/>
    <col min="14338" max="14338" width="15.85546875" style="38" customWidth="1"/>
    <col min="14339" max="14339" width="6" style="38" customWidth="1"/>
    <col min="14340" max="14346" width="4.7109375" style="38" customWidth="1"/>
    <col min="14347" max="14347" width="3.28515625" style="38" customWidth="1"/>
    <col min="14348" max="14348" width="5.7109375" style="38" customWidth="1"/>
    <col min="14349" max="14349" width="11.85546875" style="38" customWidth="1"/>
    <col min="14350" max="14350" width="12.5703125" style="38" customWidth="1"/>
    <col min="14351" max="14351" width="14.140625" style="38" customWidth="1"/>
    <col min="14352" max="14352" width="0" style="38" hidden="1" customWidth="1"/>
    <col min="14353" max="14353" width="11.5703125" style="38" customWidth="1"/>
    <col min="14354" max="14373" width="0" style="38" hidden="1" customWidth="1"/>
    <col min="14374" max="14593" width="11.42578125" style="38"/>
    <col min="14594" max="14594" width="15.85546875" style="38" customWidth="1"/>
    <col min="14595" max="14595" width="6" style="38" customWidth="1"/>
    <col min="14596" max="14602" width="4.7109375" style="38" customWidth="1"/>
    <col min="14603" max="14603" width="3.28515625" style="38" customWidth="1"/>
    <col min="14604" max="14604" width="5.7109375" style="38" customWidth="1"/>
    <col min="14605" max="14605" width="11.85546875" style="38" customWidth="1"/>
    <col min="14606" max="14606" width="12.5703125" style="38" customWidth="1"/>
    <col min="14607" max="14607" width="14.140625" style="38" customWidth="1"/>
    <col min="14608" max="14608" width="0" style="38" hidden="1" customWidth="1"/>
    <col min="14609" max="14609" width="11.5703125" style="38" customWidth="1"/>
    <col min="14610" max="14629" width="0" style="38" hidden="1" customWidth="1"/>
    <col min="14630" max="14849" width="11.42578125" style="38"/>
    <col min="14850" max="14850" width="15.85546875" style="38" customWidth="1"/>
    <col min="14851" max="14851" width="6" style="38" customWidth="1"/>
    <col min="14852" max="14858" width="4.7109375" style="38" customWidth="1"/>
    <col min="14859" max="14859" width="3.28515625" style="38" customWidth="1"/>
    <col min="14860" max="14860" width="5.7109375" style="38" customWidth="1"/>
    <col min="14861" max="14861" width="11.85546875" style="38" customWidth="1"/>
    <col min="14862" max="14862" width="12.5703125" style="38" customWidth="1"/>
    <col min="14863" max="14863" width="14.140625" style="38" customWidth="1"/>
    <col min="14864" max="14864" width="0" style="38" hidden="1" customWidth="1"/>
    <col min="14865" max="14865" width="11.5703125" style="38" customWidth="1"/>
    <col min="14866" max="14885" width="0" style="38" hidden="1" customWidth="1"/>
    <col min="14886" max="15105" width="11.42578125" style="38"/>
    <col min="15106" max="15106" width="15.85546875" style="38" customWidth="1"/>
    <col min="15107" max="15107" width="6" style="38" customWidth="1"/>
    <col min="15108" max="15114" width="4.7109375" style="38" customWidth="1"/>
    <col min="15115" max="15115" width="3.28515625" style="38" customWidth="1"/>
    <col min="15116" max="15116" width="5.7109375" style="38" customWidth="1"/>
    <col min="15117" max="15117" width="11.85546875" style="38" customWidth="1"/>
    <col min="15118" max="15118" width="12.5703125" style="38" customWidth="1"/>
    <col min="15119" max="15119" width="14.140625" style="38" customWidth="1"/>
    <col min="15120" max="15120" width="0" style="38" hidden="1" customWidth="1"/>
    <col min="15121" max="15121" width="11.5703125" style="38" customWidth="1"/>
    <col min="15122" max="15141" width="0" style="38" hidden="1" customWidth="1"/>
    <col min="15142" max="15361" width="11.42578125" style="38"/>
    <col min="15362" max="15362" width="15.85546875" style="38" customWidth="1"/>
    <col min="15363" max="15363" width="6" style="38" customWidth="1"/>
    <col min="15364" max="15370" width="4.7109375" style="38" customWidth="1"/>
    <col min="15371" max="15371" width="3.28515625" style="38" customWidth="1"/>
    <col min="15372" max="15372" width="5.7109375" style="38" customWidth="1"/>
    <col min="15373" max="15373" width="11.85546875" style="38" customWidth="1"/>
    <col min="15374" max="15374" width="12.5703125" style="38" customWidth="1"/>
    <col min="15375" max="15375" width="14.140625" style="38" customWidth="1"/>
    <col min="15376" max="15376" width="0" style="38" hidden="1" customWidth="1"/>
    <col min="15377" max="15377" width="11.5703125" style="38" customWidth="1"/>
    <col min="15378" max="15397" width="0" style="38" hidden="1" customWidth="1"/>
    <col min="15398" max="15617" width="11.42578125" style="38"/>
    <col min="15618" max="15618" width="15.85546875" style="38" customWidth="1"/>
    <col min="15619" max="15619" width="6" style="38" customWidth="1"/>
    <col min="15620" max="15626" width="4.7109375" style="38" customWidth="1"/>
    <col min="15627" max="15627" width="3.28515625" style="38" customWidth="1"/>
    <col min="15628" max="15628" width="5.7109375" style="38" customWidth="1"/>
    <col min="15629" max="15629" width="11.85546875" style="38" customWidth="1"/>
    <col min="15630" max="15630" width="12.5703125" style="38" customWidth="1"/>
    <col min="15631" max="15631" width="14.140625" style="38" customWidth="1"/>
    <col min="15632" max="15632" width="0" style="38" hidden="1" customWidth="1"/>
    <col min="15633" max="15633" width="11.5703125" style="38" customWidth="1"/>
    <col min="15634" max="15653" width="0" style="38" hidden="1" customWidth="1"/>
    <col min="15654" max="15873" width="11.42578125" style="38"/>
    <col min="15874" max="15874" width="15.85546875" style="38" customWidth="1"/>
    <col min="15875" max="15875" width="6" style="38" customWidth="1"/>
    <col min="15876" max="15882" width="4.7109375" style="38" customWidth="1"/>
    <col min="15883" max="15883" width="3.28515625" style="38" customWidth="1"/>
    <col min="15884" max="15884" width="5.7109375" style="38" customWidth="1"/>
    <col min="15885" max="15885" width="11.85546875" style="38" customWidth="1"/>
    <col min="15886" max="15886" width="12.5703125" style="38" customWidth="1"/>
    <col min="15887" max="15887" width="14.140625" style="38" customWidth="1"/>
    <col min="15888" max="15888" width="0" style="38" hidden="1" customWidth="1"/>
    <col min="15889" max="15889" width="11.5703125" style="38" customWidth="1"/>
    <col min="15890" max="15909" width="0" style="38" hidden="1" customWidth="1"/>
    <col min="15910" max="16129" width="11.42578125" style="38"/>
    <col min="16130" max="16130" width="15.85546875" style="38" customWidth="1"/>
    <col min="16131" max="16131" width="6" style="38" customWidth="1"/>
    <col min="16132" max="16138" width="4.7109375" style="38" customWidth="1"/>
    <col min="16139" max="16139" width="3.28515625" style="38" customWidth="1"/>
    <col min="16140" max="16140" width="5.7109375" style="38" customWidth="1"/>
    <col min="16141" max="16141" width="11.85546875" style="38" customWidth="1"/>
    <col min="16142" max="16142" width="12.5703125" style="38" customWidth="1"/>
    <col min="16143" max="16143" width="14.140625" style="38" customWidth="1"/>
    <col min="16144" max="16144" width="0" style="38" hidden="1" customWidth="1"/>
    <col min="16145" max="16145" width="11.5703125" style="38" customWidth="1"/>
    <col min="16146" max="16165" width="0" style="38" hidden="1" customWidth="1"/>
    <col min="16166" max="16384" width="11.42578125" style="38"/>
  </cols>
  <sheetData>
    <row r="1" spans="1:32" s="29" customFormat="1" ht="6.75" customHeight="1">
      <c r="A1" s="26"/>
      <c r="B1" s="27"/>
      <c r="C1" s="27"/>
      <c r="D1" s="27"/>
      <c r="E1" s="27"/>
      <c r="F1" s="27"/>
      <c r="G1" s="27"/>
      <c r="H1" s="27"/>
      <c r="I1" s="28"/>
      <c r="J1" s="28"/>
      <c r="K1" s="27"/>
      <c r="L1" s="27"/>
      <c r="N1" s="27"/>
      <c r="O1" s="27"/>
      <c r="P1" s="30" t="s">
        <v>82</v>
      </c>
      <c r="R1" s="29" t="s">
        <v>12</v>
      </c>
      <c r="S1" s="27" t="s">
        <v>13</v>
      </c>
      <c r="T1" s="27" t="s">
        <v>14</v>
      </c>
      <c r="U1" s="27" t="s">
        <v>15</v>
      </c>
      <c r="V1" s="27" t="s">
        <v>16</v>
      </c>
      <c r="X1" s="29" t="s">
        <v>13</v>
      </c>
      <c r="Y1" s="29" t="s">
        <v>14</v>
      </c>
      <c r="Z1" s="27" t="s">
        <v>15</v>
      </c>
      <c r="AA1" s="31" t="s">
        <v>17</v>
      </c>
      <c r="AB1" s="32"/>
      <c r="AC1" s="29" t="s">
        <v>13</v>
      </c>
      <c r="AD1" s="29" t="s">
        <v>14</v>
      </c>
      <c r="AE1" s="27" t="s">
        <v>15</v>
      </c>
      <c r="AF1" s="31" t="s">
        <v>17</v>
      </c>
    </row>
    <row r="2" spans="1:32" s="29" customFormat="1" ht="12">
      <c r="A2" s="26"/>
      <c r="B2" s="27"/>
      <c r="C2" s="27"/>
      <c r="D2" s="27"/>
      <c r="E2" s="27"/>
      <c r="F2" s="27"/>
      <c r="G2" s="27"/>
      <c r="H2" s="27"/>
      <c r="I2" s="33" t="s">
        <v>18</v>
      </c>
      <c r="K2" s="27"/>
      <c r="L2" s="27"/>
      <c r="N2" s="27"/>
      <c r="O2" s="27"/>
      <c r="P2" s="30" t="s">
        <v>83</v>
      </c>
      <c r="R2" s="29" t="s">
        <v>19</v>
      </c>
      <c r="S2" s="27">
        <v>33.64</v>
      </c>
      <c r="T2" s="27">
        <f t="shared" ref="T2:T10" si="0">S2*1.5</f>
        <v>50.46</v>
      </c>
      <c r="U2" s="27">
        <f>S2*2</f>
        <v>67.28</v>
      </c>
      <c r="V2" s="27">
        <v>154.24</v>
      </c>
      <c r="W2" s="29" t="s">
        <v>20</v>
      </c>
      <c r="X2" s="29">
        <v>22.95</v>
      </c>
      <c r="Z2" s="27"/>
      <c r="AA2" s="31"/>
      <c r="AB2" s="31" t="s">
        <v>21</v>
      </c>
      <c r="AC2" s="29">
        <v>27.3</v>
      </c>
      <c r="AD2" s="27">
        <f>AC2*1.5</f>
        <v>40.950000000000003</v>
      </c>
      <c r="AE2" s="27">
        <f>AC2*2</f>
        <v>54.6</v>
      </c>
    </row>
    <row r="3" spans="1:32" s="29" customFormat="1" ht="12">
      <c r="A3" s="26"/>
      <c r="B3" s="27"/>
      <c r="C3" s="27"/>
      <c r="D3" s="27"/>
      <c r="E3" s="27"/>
      <c r="F3" s="27"/>
      <c r="G3" s="27"/>
      <c r="H3" s="27"/>
      <c r="I3" s="33" t="s">
        <v>22</v>
      </c>
      <c r="K3" s="27"/>
      <c r="N3" s="27"/>
      <c r="O3" s="27"/>
      <c r="P3" s="30" t="s">
        <v>83</v>
      </c>
      <c r="R3" s="29" t="s">
        <v>23</v>
      </c>
      <c r="S3" s="27">
        <v>30.14</v>
      </c>
      <c r="T3" s="27">
        <f t="shared" si="0"/>
        <v>45.21</v>
      </c>
      <c r="U3" s="27">
        <f>S3*2</f>
        <v>60.28</v>
      </c>
      <c r="V3" s="27">
        <v>129.43</v>
      </c>
      <c r="W3" s="29" t="s">
        <v>24</v>
      </c>
      <c r="X3" s="29">
        <v>20.350000000000001</v>
      </c>
      <c r="AA3" s="31"/>
      <c r="AB3" s="31" t="s">
        <v>25</v>
      </c>
      <c r="AC3" s="29">
        <v>25.4</v>
      </c>
      <c r="AD3" s="27">
        <f>AC3*1.5</f>
        <v>38.099999999999994</v>
      </c>
      <c r="AE3" s="27">
        <f>AC3*2</f>
        <v>50.8</v>
      </c>
    </row>
    <row r="4" spans="1:32" s="29" customFormat="1" ht="12">
      <c r="A4" s="34"/>
      <c r="B4" s="27"/>
      <c r="C4" s="27"/>
      <c r="D4" s="27"/>
      <c r="E4" s="27"/>
      <c r="F4" s="27"/>
      <c r="G4" s="27"/>
      <c r="H4" s="27"/>
      <c r="I4" s="33" t="s">
        <v>26</v>
      </c>
      <c r="K4" s="27"/>
      <c r="L4" s="35" t="s">
        <v>27</v>
      </c>
      <c r="M4" s="149" t="str">
        <f>'PDF Information'!F4</f>
        <v/>
      </c>
      <c r="N4" s="149"/>
      <c r="O4" s="36"/>
      <c r="P4" s="30" t="s">
        <v>83</v>
      </c>
      <c r="R4" s="29" t="s">
        <v>28</v>
      </c>
      <c r="S4" s="27">
        <f>S3</f>
        <v>30.14</v>
      </c>
      <c r="T4" s="27">
        <f t="shared" si="0"/>
        <v>45.21</v>
      </c>
      <c r="U4" s="27">
        <f>S4*2</f>
        <v>60.28</v>
      </c>
      <c r="V4" s="27">
        <v>140.22</v>
      </c>
      <c r="AA4" s="31"/>
      <c r="AB4" s="31" t="s">
        <v>29</v>
      </c>
      <c r="AC4" s="29">
        <v>23.5</v>
      </c>
      <c r="AD4" s="27">
        <f>AC4*1.5</f>
        <v>35.25</v>
      </c>
      <c r="AE4" s="27">
        <f>AC4*2</f>
        <v>47</v>
      </c>
    </row>
    <row r="5" spans="1:32" s="29" customFormat="1" ht="12">
      <c r="A5" s="37"/>
      <c r="B5" s="27"/>
      <c r="C5" s="27"/>
      <c r="D5" s="27"/>
      <c r="E5" s="27"/>
      <c r="F5" s="27"/>
      <c r="G5" s="27"/>
      <c r="H5" s="27"/>
      <c r="I5" s="33" t="s">
        <v>30</v>
      </c>
      <c r="K5" s="27"/>
      <c r="L5" s="35" t="s">
        <v>31</v>
      </c>
      <c r="M5" s="149" t="str">
        <f>'PDF Information'!F8</f>
        <v/>
      </c>
      <c r="N5" s="149"/>
      <c r="O5" s="27"/>
      <c r="P5" s="30" t="s">
        <v>83</v>
      </c>
      <c r="R5" s="29" t="s">
        <v>32</v>
      </c>
      <c r="S5" s="27">
        <v>23.64</v>
      </c>
      <c r="T5" s="27">
        <f t="shared" si="0"/>
        <v>35.46</v>
      </c>
      <c r="U5" s="27"/>
      <c r="V5" s="27"/>
      <c r="AA5" s="31"/>
      <c r="AB5" s="31" t="s">
        <v>33</v>
      </c>
      <c r="AC5" s="29">
        <v>21.85</v>
      </c>
      <c r="AD5" s="27">
        <f>AC5*1.5</f>
        <v>32.775000000000006</v>
      </c>
      <c r="AE5" s="27">
        <f>AC5*2</f>
        <v>43.7</v>
      </c>
    </row>
    <row r="6" spans="1:32" s="29" customFormat="1">
      <c r="A6" s="34">
        <v>0</v>
      </c>
      <c r="B6" s="38"/>
      <c r="C6" s="38"/>
      <c r="D6" s="27"/>
      <c r="E6" s="27"/>
      <c r="F6" s="27"/>
      <c r="G6" s="27"/>
      <c r="H6" s="27"/>
      <c r="I6" s="27"/>
      <c r="J6" s="27"/>
      <c r="K6" s="27"/>
      <c r="L6" s="35" t="s">
        <v>34</v>
      </c>
      <c r="M6" s="149" t="str">
        <f>'PDF Information'!F7</f>
        <v/>
      </c>
      <c r="N6" s="149"/>
      <c r="O6" s="27"/>
      <c r="P6" s="30" t="s">
        <v>83</v>
      </c>
      <c r="R6" s="29" t="s">
        <v>35</v>
      </c>
      <c r="S6" s="27">
        <v>33.64</v>
      </c>
      <c r="T6" s="27">
        <f t="shared" si="0"/>
        <v>50.46</v>
      </c>
      <c r="U6" s="27"/>
      <c r="V6" s="27"/>
      <c r="W6" s="29" t="s">
        <v>36</v>
      </c>
      <c r="X6" s="29">
        <v>24.34</v>
      </c>
      <c r="Y6" s="29">
        <f>X6*1.5</f>
        <v>36.51</v>
      </c>
      <c r="AA6" s="31"/>
      <c r="AB6" s="31" t="s">
        <v>37</v>
      </c>
      <c r="AC6" s="29">
        <v>19.399999999999999</v>
      </c>
      <c r="AD6" s="27">
        <f>AC6*1.5</f>
        <v>29.099999999999998</v>
      </c>
      <c r="AE6" s="27">
        <f>AC6*2</f>
        <v>38.799999999999997</v>
      </c>
    </row>
    <row r="7" spans="1:32" s="29" customFormat="1" ht="12">
      <c r="A7" s="39"/>
      <c r="B7" s="35" t="s">
        <v>38</v>
      </c>
      <c r="C7" s="40" t="str">
        <f>'PDF Information'!F5</f>
        <v/>
      </c>
      <c r="D7" s="27"/>
      <c r="H7" s="41"/>
      <c r="I7" s="42"/>
      <c r="K7" s="27"/>
      <c r="L7" s="35" t="s">
        <v>39</v>
      </c>
      <c r="M7" s="140">
        <f>'Filtered Information'!D1</f>
        <v>41575</v>
      </c>
      <c r="N7" s="139"/>
      <c r="O7" s="27"/>
      <c r="P7" s="30" t="s">
        <v>83</v>
      </c>
      <c r="R7" s="29" t="s">
        <v>40</v>
      </c>
      <c r="S7" s="27">
        <v>30.14</v>
      </c>
      <c r="T7" s="27">
        <f t="shared" si="0"/>
        <v>45.21</v>
      </c>
      <c r="U7" s="27"/>
      <c r="V7" s="27"/>
      <c r="W7" s="29" t="s">
        <v>41</v>
      </c>
      <c r="X7" s="29">
        <v>19.739999999999998</v>
      </c>
      <c r="Y7" s="29">
        <f>X7*1.5</f>
        <v>29.61</v>
      </c>
      <c r="AA7" s="31"/>
      <c r="AB7" s="31"/>
    </row>
    <row r="8" spans="1:32" s="29" customFormat="1">
      <c r="A8" s="43"/>
      <c r="B8" s="44" t="s">
        <v>42</v>
      </c>
      <c r="C8" s="45" t="str">
        <f>'PDF Information'!F6</f>
        <v/>
      </c>
      <c r="D8" s="46"/>
      <c r="E8" s="47"/>
      <c r="F8" s="46"/>
      <c r="G8" s="46"/>
      <c r="H8" s="46"/>
      <c r="I8" s="45"/>
      <c r="J8" s="46"/>
      <c r="K8" s="46"/>
      <c r="L8" s="44" t="s">
        <v>43</v>
      </c>
      <c r="M8" s="140"/>
      <c r="N8" s="140"/>
      <c r="O8" s="46"/>
      <c r="P8" s="30" t="s">
        <v>83</v>
      </c>
      <c r="R8" s="38" t="s">
        <v>44</v>
      </c>
      <c r="S8" s="48">
        <v>28.01</v>
      </c>
      <c r="T8" s="27">
        <f t="shared" si="0"/>
        <v>42.015000000000001</v>
      </c>
      <c r="U8" s="48"/>
      <c r="V8" s="48"/>
      <c r="W8" s="29" t="s">
        <v>45</v>
      </c>
      <c r="X8" s="29">
        <v>17.64</v>
      </c>
      <c r="Y8" s="29">
        <f>X8*1.5</f>
        <v>26.46</v>
      </c>
      <c r="AA8" s="30">
        <v>77.180000000000007</v>
      </c>
      <c r="AB8" s="31"/>
    </row>
    <row r="9" spans="1:32">
      <c r="A9" s="49"/>
      <c r="B9" s="1"/>
      <c r="C9" s="2">
        <f t="shared" ref="C9:I9" si="1">C10</f>
        <v>41575</v>
      </c>
      <c r="D9" s="2" t="str">
        <f t="shared" si="1"/>
        <v>-</v>
      </c>
      <c r="E9" s="2" t="str">
        <f t="shared" si="1"/>
        <v>-</v>
      </c>
      <c r="F9" s="2" t="str">
        <f t="shared" si="1"/>
        <v>-</v>
      </c>
      <c r="G9" s="2" t="str">
        <f t="shared" si="1"/>
        <v>-</v>
      </c>
      <c r="H9" s="2" t="str">
        <f t="shared" si="1"/>
        <v>-</v>
      </c>
      <c r="I9" s="2" t="str">
        <f t="shared" si="1"/>
        <v>-</v>
      </c>
      <c r="J9" s="50"/>
      <c r="K9" s="50"/>
      <c r="L9" s="50"/>
      <c r="M9" s="50"/>
      <c r="N9" s="50"/>
      <c r="O9" s="38"/>
      <c r="P9" s="30" t="s">
        <v>83</v>
      </c>
      <c r="R9" s="38" t="s">
        <v>46</v>
      </c>
      <c r="S9" s="48">
        <f>S2+2</f>
        <v>35.64</v>
      </c>
      <c r="T9" s="27">
        <f t="shared" si="0"/>
        <v>53.46</v>
      </c>
      <c r="U9" s="27">
        <f>S9*2</f>
        <v>71.28</v>
      </c>
    </row>
    <row r="10" spans="1:32" ht="13.5" thickBot="1">
      <c r="A10" s="3" t="s">
        <v>47</v>
      </c>
      <c r="B10" s="4" t="s">
        <v>48</v>
      </c>
      <c r="C10" s="138">
        <f>M7</f>
        <v>41575</v>
      </c>
      <c r="D10" s="5" t="str">
        <f>IF(M8&gt;C10,C10+1,"-")</f>
        <v>-</v>
      </c>
      <c r="E10" s="5" t="str">
        <f>IF(M8&gt;D10,D10+1,"-")</f>
        <v>-</v>
      </c>
      <c r="F10" s="5" t="str">
        <f>IF(M8&gt;E10,E10+1,"-")</f>
        <v>-</v>
      </c>
      <c r="G10" s="5" t="str">
        <f>IF(M8&gt;F10,F10+1,"-")</f>
        <v>-</v>
      </c>
      <c r="H10" s="5" t="str">
        <f>IF(M8&gt;G10,G10+1,"-")</f>
        <v>-</v>
      </c>
      <c r="I10" s="5" t="str">
        <f>IF(M8&gt;H10,H10+1,"-")</f>
        <v>-</v>
      </c>
      <c r="J10" s="6" t="s">
        <v>49</v>
      </c>
      <c r="K10" s="6" t="s">
        <v>50</v>
      </c>
      <c r="L10" s="6" t="s">
        <v>51</v>
      </c>
      <c r="M10" s="6"/>
      <c r="N10" s="6" t="s">
        <v>52</v>
      </c>
      <c r="O10" s="7"/>
      <c r="P10" s="30" t="s">
        <v>83</v>
      </c>
      <c r="Q10" s="52"/>
      <c r="R10" s="53" t="s">
        <v>53</v>
      </c>
      <c r="S10" s="54">
        <f>S3+2</f>
        <v>32.14</v>
      </c>
      <c r="T10" s="27">
        <f t="shared" si="0"/>
        <v>48.21</v>
      </c>
      <c r="U10" s="27">
        <f>S10*2</f>
        <v>64.28</v>
      </c>
      <c r="V10" s="54"/>
    </row>
    <row r="11" spans="1:32" s="53" customFormat="1" ht="13.5" thickTop="1">
      <c r="A11" s="55">
        <f>A6+1</f>
        <v>1</v>
      </c>
      <c r="B11" s="56" t="s">
        <v>54</v>
      </c>
      <c r="C11" s="8"/>
      <c r="D11" s="8"/>
      <c r="E11" s="8"/>
      <c r="F11" s="8"/>
      <c r="G11" s="8"/>
      <c r="H11" s="8"/>
      <c r="I11" s="8"/>
      <c r="J11" s="9">
        <f t="shared" ref="J11:J30" si="2">SUM(C11:I11)</f>
        <v>0</v>
      </c>
      <c r="K11" s="57" t="str">
        <f>IFERROR(VLOOKUP(A11,'Filtered Information'!$A$3:$D$64,2,FALSE),"0")</f>
        <v>0</v>
      </c>
      <c r="L11" s="10">
        <f t="shared" ref="L11:L30" si="3">J11*K11</f>
        <v>0</v>
      </c>
      <c r="M11" s="58" t="str">
        <f>IF(K11&gt;0,"SUBTOTAL:",0)</f>
        <v>SUBTOTAL:</v>
      </c>
      <c r="N11" s="59">
        <f>SUM(L11:L15)</f>
        <v>0</v>
      </c>
      <c r="O11" s="60"/>
      <c r="P11" s="61" t="str">
        <f>IF('Filtered Information'!$B$1&gt;=A11,"NO","YES")</f>
        <v>YES</v>
      </c>
      <c r="Q11" s="62"/>
      <c r="R11" s="38"/>
      <c r="S11" s="48"/>
      <c r="T11" s="48"/>
      <c r="U11" s="48"/>
      <c r="V11" s="48"/>
      <c r="AA11" s="63"/>
      <c r="AB11" s="63"/>
    </row>
    <row r="12" spans="1:32">
      <c r="A12" s="64" t="str">
        <f>IFERROR(VLOOKUP(A11,'Filtered Information'!$A$3:$E$66,4,FALSE),"-")</f>
        <v>-</v>
      </c>
      <c r="B12" s="27" t="s">
        <v>55</v>
      </c>
      <c r="C12" s="11"/>
      <c r="D12" s="11"/>
      <c r="E12" s="11"/>
      <c r="F12" s="11"/>
      <c r="G12" s="11"/>
      <c r="H12" s="11"/>
      <c r="I12" s="11"/>
      <c r="J12" s="12">
        <f t="shared" si="2"/>
        <v>0</v>
      </c>
      <c r="K12" s="65">
        <f>IF(J12&gt;0,K11*1.5,)</f>
        <v>0</v>
      </c>
      <c r="L12" s="13">
        <f t="shared" si="3"/>
        <v>0</v>
      </c>
      <c r="M12" s="66" t="s">
        <v>56</v>
      </c>
      <c r="N12" s="67">
        <f>N11*0.08</f>
        <v>0</v>
      </c>
      <c r="O12" s="68"/>
      <c r="P12" s="69" t="str">
        <f>IF('Filtered Information'!$B$1&gt;=A11,"NO","YES")</f>
        <v>YES</v>
      </c>
    </row>
    <row r="13" spans="1:32">
      <c r="A13" s="64" t="str">
        <f>IFERROR(VLOOKUP(A11,'Filtered Information'!$A$3:$E$66,3,FALSE),"-")</f>
        <v>-</v>
      </c>
      <c r="B13" s="27" t="s">
        <v>57</v>
      </c>
      <c r="C13" s="11"/>
      <c r="D13" s="11"/>
      <c r="E13" s="11"/>
      <c r="F13" s="11"/>
      <c r="G13" s="11"/>
      <c r="H13" s="11"/>
      <c r="I13" s="11"/>
      <c r="J13" s="12">
        <f t="shared" si="2"/>
        <v>0</v>
      </c>
      <c r="K13" s="65">
        <f>IF(J13&gt;0,K11*2,)</f>
        <v>0</v>
      </c>
      <c r="L13" s="13">
        <f t="shared" si="3"/>
        <v>0</v>
      </c>
      <c r="M13" s="70" t="str">
        <f>IF(K11&gt;0,"TOTAL WAGE:",0)</f>
        <v>TOTAL WAGE:</v>
      </c>
      <c r="N13" s="71">
        <f>N11+N12</f>
        <v>0</v>
      </c>
      <c r="O13" s="48">
        <f>N13</f>
        <v>0</v>
      </c>
      <c r="P13" s="69" t="str">
        <f>IF('Filtered Information'!$B$1&gt;=A11,"NO","YES")</f>
        <v>YES</v>
      </c>
    </row>
    <row r="14" spans="1:32">
      <c r="A14" s="64" t="str">
        <f>IFERROR(VLOOKUP(A11,'Filtered Information'!$A$3:$E$64,5,FALSE),"-")</f>
        <v>-</v>
      </c>
      <c r="B14" s="27" t="s">
        <v>58</v>
      </c>
      <c r="C14" s="11"/>
      <c r="D14" s="11"/>
      <c r="E14" s="11"/>
      <c r="F14" s="11"/>
      <c r="G14" s="11"/>
      <c r="H14" s="11"/>
      <c r="I14" s="11"/>
      <c r="J14" s="12">
        <f t="shared" si="2"/>
        <v>0</v>
      </c>
      <c r="K14" s="65"/>
      <c r="L14" s="13">
        <f t="shared" si="3"/>
        <v>0</v>
      </c>
      <c r="M14" s="72"/>
      <c r="N14" s="73"/>
      <c r="P14" s="69" t="str">
        <f>IF('Filtered Information'!$B$1&gt;=A11,"NO","YES")</f>
        <v>YES</v>
      </c>
      <c r="R14" s="74"/>
      <c r="S14" s="75"/>
      <c r="T14" s="75"/>
      <c r="U14" s="75"/>
      <c r="V14" s="75"/>
    </row>
    <row r="15" spans="1:32" s="74" customFormat="1" ht="13.5" thickBot="1">
      <c r="A15" s="76" t="s">
        <v>59</v>
      </c>
      <c r="B15" s="46" t="s">
        <v>60</v>
      </c>
      <c r="C15" s="14"/>
      <c r="D15" s="14"/>
      <c r="E15" s="14"/>
      <c r="F15" s="14"/>
      <c r="G15" s="14"/>
      <c r="H15" s="14"/>
      <c r="I15" s="14"/>
      <c r="J15" s="15">
        <f t="shared" si="2"/>
        <v>0</v>
      </c>
      <c r="K15" s="77">
        <f>IF(J15&gt;0,K11,)</f>
        <v>0</v>
      </c>
      <c r="L15" s="16">
        <f t="shared" si="3"/>
        <v>0</v>
      </c>
      <c r="M15" s="78" t="str">
        <f>IF(K11&gt;0,"UNION 3.5%:",0)</f>
        <v>UNION 3.5%:</v>
      </c>
      <c r="N15" s="79">
        <f>N13*0.035</f>
        <v>0</v>
      </c>
      <c r="O15" s="75"/>
      <c r="P15" s="80" t="str">
        <f>IF('Filtered Information'!$B$1&gt;=A11,"NO","YES")</f>
        <v>YES</v>
      </c>
      <c r="R15" s="38"/>
      <c r="S15" s="48"/>
      <c r="T15" s="48"/>
      <c r="U15" s="48"/>
      <c r="V15" s="48"/>
      <c r="AA15" s="81"/>
      <c r="AB15" s="81"/>
    </row>
    <row r="16" spans="1:32" s="53" customFormat="1" ht="13.5" thickTop="1">
      <c r="A16" s="55">
        <f>A11+1</f>
        <v>2</v>
      </c>
      <c r="B16" s="56" t="s">
        <v>54</v>
      </c>
      <c r="C16" s="8"/>
      <c r="D16" s="8"/>
      <c r="E16" s="8"/>
      <c r="F16" s="8"/>
      <c r="G16" s="8"/>
      <c r="H16" s="8"/>
      <c r="I16" s="8"/>
      <c r="J16" s="9">
        <f t="shared" si="2"/>
        <v>0</v>
      </c>
      <c r="K16" s="57" t="str">
        <f>IFERROR(VLOOKUP(A16,'Filtered Information'!$A$3:$D$64,2,FALSE),"0")</f>
        <v>0</v>
      </c>
      <c r="L16" s="10">
        <f t="shared" si="3"/>
        <v>0</v>
      </c>
      <c r="M16" s="58" t="str">
        <f>IF(K16&gt;0,"SUBTOTAL:",0)</f>
        <v>SUBTOTAL:</v>
      </c>
      <c r="N16" s="59">
        <f>SUM(L16:L20)</f>
        <v>0</v>
      </c>
      <c r="O16" s="60"/>
      <c r="P16" s="61" t="str">
        <f>IF('Filtered Information'!$B$1&gt;=A16,"NO","YES")</f>
        <v>YES</v>
      </c>
      <c r="Q16" s="62"/>
      <c r="R16" s="38"/>
      <c r="S16" s="48"/>
      <c r="T16" s="48"/>
      <c r="U16" s="48"/>
      <c r="V16" s="48"/>
      <c r="AA16" s="63"/>
      <c r="AB16" s="63"/>
    </row>
    <row r="17" spans="1:28">
      <c r="A17" s="64" t="str">
        <f>IFERROR(VLOOKUP(A16,'Filtered Information'!$A$3:$E$66,4,FALSE),"-")</f>
        <v>-</v>
      </c>
      <c r="B17" s="27" t="s">
        <v>55</v>
      </c>
      <c r="C17" s="11"/>
      <c r="D17" s="11"/>
      <c r="E17" s="11"/>
      <c r="F17" s="11"/>
      <c r="G17" s="11"/>
      <c r="H17" s="11"/>
      <c r="I17" s="11"/>
      <c r="J17" s="12">
        <f t="shared" si="2"/>
        <v>0</v>
      </c>
      <c r="K17" s="65">
        <f>IF(J17&gt;0,K16*1.5,)</f>
        <v>0</v>
      </c>
      <c r="L17" s="13">
        <f t="shared" si="3"/>
        <v>0</v>
      </c>
      <c r="M17" s="66" t="s">
        <v>56</v>
      </c>
      <c r="N17" s="67">
        <f>N16*0.08</f>
        <v>0</v>
      </c>
      <c r="O17" s="68"/>
      <c r="P17" s="69" t="str">
        <f>IF('Filtered Information'!$B$1&gt;=A16,"NO","YES")</f>
        <v>YES</v>
      </c>
    </row>
    <row r="18" spans="1:28">
      <c r="A18" s="64" t="str">
        <f>IFERROR(VLOOKUP(A16,'Filtered Information'!$A$3:$E$66,3,FALSE),"-")</f>
        <v>-</v>
      </c>
      <c r="B18" s="27" t="s">
        <v>57</v>
      </c>
      <c r="C18" s="11"/>
      <c r="D18" s="11"/>
      <c r="E18" s="11"/>
      <c r="F18" s="11"/>
      <c r="G18" s="11"/>
      <c r="H18" s="11"/>
      <c r="I18" s="11"/>
      <c r="J18" s="12">
        <f t="shared" si="2"/>
        <v>0</v>
      </c>
      <c r="K18" s="65">
        <f>IF(J18&gt;0,K16*2,)</f>
        <v>0</v>
      </c>
      <c r="L18" s="13">
        <f t="shared" si="3"/>
        <v>0</v>
      </c>
      <c r="M18" s="70" t="str">
        <f>IF(K16&gt;0,"TOTAL WAGE:",0)</f>
        <v>TOTAL WAGE:</v>
      </c>
      <c r="N18" s="71">
        <f>N16+N17</f>
        <v>0</v>
      </c>
      <c r="O18" s="48">
        <f>N18</f>
        <v>0</v>
      </c>
      <c r="P18" s="69" t="str">
        <f>IF('Filtered Information'!$B$1&gt;=A16,"NO","YES")</f>
        <v>YES</v>
      </c>
    </row>
    <row r="19" spans="1:28">
      <c r="A19" s="82" t="str">
        <f>IFERROR(VLOOKUP(A16,'Filtered Information'!$A$3:$E$64,5,FALSE),"-")</f>
        <v>-</v>
      </c>
      <c r="B19" s="27" t="s">
        <v>58</v>
      </c>
      <c r="C19" s="11"/>
      <c r="D19" s="11"/>
      <c r="E19" s="11"/>
      <c r="F19" s="11"/>
      <c r="G19" s="11"/>
      <c r="H19" s="11"/>
      <c r="I19" s="11"/>
      <c r="J19" s="12">
        <f t="shared" si="2"/>
        <v>0</v>
      </c>
      <c r="K19" s="65"/>
      <c r="L19" s="13">
        <f t="shared" si="3"/>
        <v>0</v>
      </c>
      <c r="M19" s="72"/>
      <c r="N19" s="73"/>
      <c r="P19" s="69" t="str">
        <f>IF('Filtered Information'!$B$1&gt;=A16,"NO","YES")</f>
        <v>YES</v>
      </c>
      <c r="R19" s="74"/>
      <c r="S19" s="75"/>
      <c r="T19" s="75"/>
      <c r="U19" s="75"/>
      <c r="V19" s="75"/>
    </row>
    <row r="20" spans="1:28" s="74" customFormat="1" ht="13.5" thickBot="1">
      <c r="A20" s="83"/>
      <c r="B20" s="46" t="s">
        <v>60</v>
      </c>
      <c r="C20" s="14"/>
      <c r="D20" s="14"/>
      <c r="E20" s="14"/>
      <c r="F20" s="14"/>
      <c r="G20" s="14"/>
      <c r="H20" s="14"/>
      <c r="I20" s="14"/>
      <c r="J20" s="15">
        <f t="shared" si="2"/>
        <v>0</v>
      </c>
      <c r="K20" s="77">
        <f>IF(J20&gt;0,K16,)</f>
        <v>0</v>
      </c>
      <c r="L20" s="16">
        <f t="shared" si="3"/>
        <v>0</v>
      </c>
      <c r="M20" s="78" t="str">
        <f>IF(K16&gt;0,"UNION 3.5%:",0)</f>
        <v>UNION 3.5%:</v>
      </c>
      <c r="N20" s="79">
        <f>N18*0.035</f>
        <v>0</v>
      </c>
      <c r="O20" s="75"/>
      <c r="P20" s="80" t="str">
        <f>IF('Filtered Information'!$B$1&gt;=A16,"NO","YES")</f>
        <v>YES</v>
      </c>
      <c r="R20" s="38"/>
      <c r="S20" s="48"/>
      <c r="T20" s="48"/>
      <c r="U20" s="48"/>
      <c r="V20" s="48"/>
      <c r="AA20" s="81"/>
      <c r="AB20" s="81"/>
    </row>
    <row r="21" spans="1:28" s="53" customFormat="1" ht="13.5" thickTop="1">
      <c r="A21" s="55">
        <f>A16+1</f>
        <v>3</v>
      </c>
      <c r="B21" s="56" t="s">
        <v>54</v>
      </c>
      <c r="C21" s="8"/>
      <c r="D21" s="8"/>
      <c r="E21" s="8"/>
      <c r="F21" s="8"/>
      <c r="G21" s="8"/>
      <c r="H21" s="8"/>
      <c r="I21" s="8"/>
      <c r="J21" s="9">
        <f t="shared" si="2"/>
        <v>0</v>
      </c>
      <c r="K21" s="57" t="str">
        <f>IFERROR(VLOOKUP(A21,'Filtered Information'!$A$3:$D$64,2,FALSE),"0")</f>
        <v>0</v>
      </c>
      <c r="L21" s="10">
        <f t="shared" si="3"/>
        <v>0</v>
      </c>
      <c r="M21" s="58" t="str">
        <f>IF(K21&gt;0,"SUBTOTAL:",0)</f>
        <v>SUBTOTAL:</v>
      </c>
      <c r="N21" s="59">
        <f>SUM(L21:L25)</f>
        <v>0</v>
      </c>
      <c r="O21" s="60"/>
      <c r="P21" s="61" t="str">
        <f>IF('Filtered Information'!$B$1&gt;=A21,"NO","YES")</f>
        <v>YES</v>
      </c>
      <c r="Q21" s="62"/>
      <c r="R21" s="38"/>
      <c r="S21" s="48"/>
      <c r="T21" s="48"/>
      <c r="U21" s="48"/>
      <c r="V21" s="48"/>
      <c r="AA21" s="63"/>
      <c r="AB21" s="63"/>
    </row>
    <row r="22" spans="1:28">
      <c r="A22" s="64" t="str">
        <f>IFERROR(VLOOKUP(A21,'Filtered Information'!$A$3:$E$66,4,FALSE),"-")</f>
        <v>-</v>
      </c>
      <c r="B22" s="27" t="s">
        <v>55</v>
      </c>
      <c r="C22" s="11"/>
      <c r="D22" s="11"/>
      <c r="E22" s="11"/>
      <c r="F22" s="11"/>
      <c r="G22" s="11"/>
      <c r="H22" s="11"/>
      <c r="I22" s="11"/>
      <c r="J22" s="12">
        <f t="shared" si="2"/>
        <v>0</v>
      </c>
      <c r="K22" s="65">
        <f>IF(J22&gt;0,K21*1.5,)</f>
        <v>0</v>
      </c>
      <c r="L22" s="13">
        <f t="shared" si="3"/>
        <v>0</v>
      </c>
      <c r="M22" s="66" t="s">
        <v>56</v>
      </c>
      <c r="N22" s="67">
        <f>N21*0.08</f>
        <v>0</v>
      </c>
      <c r="O22" s="68"/>
      <c r="P22" s="69" t="str">
        <f>IF('Filtered Information'!$B$1&gt;=A21,"NO","YES")</f>
        <v>YES</v>
      </c>
    </row>
    <row r="23" spans="1:28">
      <c r="A23" s="64" t="str">
        <f>IFERROR(VLOOKUP(A21,'Filtered Information'!$A$3:$E$66,3,FALSE),"-")</f>
        <v>-</v>
      </c>
      <c r="B23" s="27" t="s">
        <v>57</v>
      </c>
      <c r="C23" s="11"/>
      <c r="D23" s="11"/>
      <c r="E23" s="11"/>
      <c r="F23" s="11"/>
      <c r="G23" s="11"/>
      <c r="H23" s="11"/>
      <c r="I23" s="11"/>
      <c r="J23" s="12">
        <f t="shared" si="2"/>
        <v>0</v>
      </c>
      <c r="K23" s="65">
        <f>IF(J23&gt;0,K21*2,)</f>
        <v>0</v>
      </c>
      <c r="L23" s="13">
        <f t="shared" si="3"/>
        <v>0</v>
      </c>
      <c r="M23" s="70" t="str">
        <f>IF(K21&gt;0,"TOTAL WAGE:",0)</f>
        <v>TOTAL WAGE:</v>
      </c>
      <c r="N23" s="71">
        <f>N21+N22</f>
        <v>0</v>
      </c>
      <c r="O23" s="48">
        <f>N23</f>
        <v>0</v>
      </c>
      <c r="P23" s="69" t="str">
        <f>IF('Filtered Information'!$B$1&gt;=A21,"NO","YES")</f>
        <v>YES</v>
      </c>
    </row>
    <row r="24" spans="1:28">
      <c r="A24" s="82" t="str">
        <f>IFERROR(VLOOKUP(A21,'Filtered Information'!$A$3:$E$64,5,FALSE),"-")</f>
        <v>-</v>
      </c>
      <c r="B24" s="27" t="s">
        <v>58</v>
      </c>
      <c r="C24" s="11"/>
      <c r="D24" s="11"/>
      <c r="E24" s="11"/>
      <c r="F24" s="11"/>
      <c r="G24" s="11"/>
      <c r="H24" s="11"/>
      <c r="I24" s="11"/>
      <c r="J24" s="12">
        <f t="shared" si="2"/>
        <v>0</v>
      </c>
      <c r="K24" s="65"/>
      <c r="L24" s="13">
        <f t="shared" si="3"/>
        <v>0</v>
      </c>
      <c r="M24" s="72"/>
      <c r="N24" s="73"/>
      <c r="P24" s="69" t="str">
        <f>IF('Filtered Information'!$B$1&gt;=A21,"NO","YES")</f>
        <v>YES</v>
      </c>
      <c r="R24" s="74"/>
      <c r="S24" s="75"/>
      <c r="T24" s="75"/>
      <c r="U24" s="75"/>
      <c r="V24" s="75"/>
    </row>
    <row r="25" spans="1:28" s="74" customFormat="1" ht="13.5" thickBot="1">
      <c r="A25" s="83"/>
      <c r="B25" s="46" t="s">
        <v>60</v>
      </c>
      <c r="C25" s="14"/>
      <c r="D25" s="14"/>
      <c r="E25" s="14"/>
      <c r="F25" s="14"/>
      <c r="G25" s="14"/>
      <c r="H25" s="14"/>
      <c r="I25" s="14"/>
      <c r="J25" s="15">
        <f t="shared" si="2"/>
        <v>0</v>
      </c>
      <c r="K25" s="77">
        <f>IF(J25&gt;0,K21,)</f>
        <v>0</v>
      </c>
      <c r="L25" s="16">
        <f t="shared" si="3"/>
        <v>0</v>
      </c>
      <c r="M25" s="78" t="str">
        <f>IF(K21&gt;0,"UNION 3.5%:",0)</f>
        <v>UNION 3.5%:</v>
      </c>
      <c r="N25" s="79">
        <f>N23*0.035</f>
        <v>0</v>
      </c>
      <c r="O25" s="75"/>
      <c r="P25" s="80" t="str">
        <f>IF('Filtered Information'!$B$1&gt;=A21,"NO","YES")</f>
        <v>YES</v>
      </c>
      <c r="R25" s="38"/>
      <c r="S25" s="48"/>
      <c r="T25" s="48"/>
      <c r="U25" s="48"/>
      <c r="V25" s="48"/>
      <c r="AA25" s="81"/>
      <c r="AB25" s="81"/>
    </row>
    <row r="26" spans="1:28" s="53" customFormat="1" ht="13.5" thickTop="1">
      <c r="A26" s="55">
        <f>A21+1</f>
        <v>4</v>
      </c>
      <c r="B26" s="56" t="s">
        <v>54</v>
      </c>
      <c r="C26" s="8"/>
      <c r="D26" s="8"/>
      <c r="E26" s="8"/>
      <c r="F26" s="8"/>
      <c r="G26" s="8"/>
      <c r="H26" s="8"/>
      <c r="I26" s="8"/>
      <c r="J26" s="9">
        <f t="shared" si="2"/>
        <v>0</v>
      </c>
      <c r="K26" s="57" t="str">
        <f>IFERROR(VLOOKUP(A26,'Filtered Information'!$A$3:$D$64,2,FALSE),"0")</f>
        <v>0</v>
      </c>
      <c r="L26" s="10">
        <f t="shared" si="3"/>
        <v>0</v>
      </c>
      <c r="M26" s="58" t="str">
        <f>IF(K26&gt;0,"SUBTOTAL:",0)</f>
        <v>SUBTOTAL:</v>
      </c>
      <c r="N26" s="59">
        <f>SUM(L26:L30)</f>
        <v>0</v>
      </c>
      <c r="O26" s="60"/>
      <c r="P26" s="61" t="str">
        <f>IF('Filtered Information'!$B$1&gt;=A26,"NO","YES")</f>
        <v>YES</v>
      </c>
      <c r="Q26" s="62"/>
      <c r="R26" s="38"/>
      <c r="S26" s="48"/>
      <c r="T26" s="48"/>
      <c r="U26" s="48"/>
      <c r="V26" s="48"/>
      <c r="AA26" s="63"/>
      <c r="AB26" s="63"/>
    </row>
    <row r="27" spans="1:28">
      <c r="A27" s="64" t="str">
        <f>IFERROR(VLOOKUP(A26,'Filtered Information'!$A$3:$E$66,4,FALSE),"-")</f>
        <v>-</v>
      </c>
      <c r="B27" s="27" t="s">
        <v>55</v>
      </c>
      <c r="C27" s="11"/>
      <c r="D27" s="11"/>
      <c r="E27" s="11"/>
      <c r="F27" s="11"/>
      <c r="G27" s="11"/>
      <c r="H27" s="11"/>
      <c r="I27" s="11"/>
      <c r="J27" s="12">
        <f t="shared" si="2"/>
        <v>0</v>
      </c>
      <c r="K27" s="65">
        <f>IF(J27&gt;0,K26*1.5,)</f>
        <v>0</v>
      </c>
      <c r="L27" s="13">
        <f t="shared" si="3"/>
        <v>0</v>
      </c>
      <c r="M27" s="66" t="s">
        <v>56</v>
      </c>
      <c r="N27" s="67">
        <f>N26*0.08</f>
        <v>0</v>
      </c>
      <c r="O27" s="68"/>
      <c r="P27" s="69" t="str">
        <f>IF('Filtered Information'!$B$1&gt;=A26,"NO","YES")</f>
        <v>YES</v>
      </c>
    </row>
    <row r="28" spans="1:28">
      <c r="A28" s="64" t="str">
        <f>IFERROR(VLOOKUP(A26,'Filtered Information'!$A$3:$E$66,3,FALSE),"-")</f>
        <v>-</v>
      </c>
      <c r="B28" s="27" t="s">
        <v>57</v>
      </c>
      <c r="C28" s="11"/>
      <c r="D28" s="11"/>
      <c r="E28" s="11"/>
      <c r="F28" s="11"/>
      <c r="G28" s="11"/>
      <c r="H28" s="11"/>
      <c r="I28" s="11"/>
      <c r="J28" s="12">
        <f t="shared" si="2"/>
        <v>0</v>
      </c>
      <c r="K28" s="65">
        <f>IF(J28&gt;0,K26*2,)</f>
        <v>0</v>
      </c>
      <c r="L28" s="13">
        <f t="shared" si="3"/>
        <v>0</v>
      </c>
      <c r="M28" s="70" t="str">
        <f>IF(K26&gt;0,"TOTAL WAGE:",0)</f>
        <v>TOTAL WAGE:</v>
      </c>
      <c r="N28" s="71">
        <f>N26+N27</f>
        <v>0</v>
      </c>
      <c r="O28" s="48">
        <f>N28</f>
        <v>0</v>
      </c>
      <c r="P28" s="69" t="str">
        <f>IF('Filtered Information'!$B$1&gt;=A26,"NO","YES")</f>
        <v>YES</v>
      </c>
    </row>
    <row r="29" spans="1:28">
      <c r="A29" s="82" t="str">
        <f>IFERROR(VLOOKUP(A26,'Filtered Information'!$A$3:$E$64,5,FALSE),"-")</f>
        <v>-</v>
      </c>
      <c r="B29" s="27" t="s">
        <v>58</v>
      </c>
      <c r="C29" s="11"/>
      <c r="D29" s="11"/>
      <c r="E29" s="11"/>
      <c r="F29" s="11"/>
      <c r="G29" s="11"/>
      <c r="H29" s="11"/>
      <c r="I29" s="11"/>
      <c r="J29" s="12">
        <f t="shared" si="2"/>
        <v>0</v>
      </c>
      <c r="K29" s="65"/>
      <c r="L29" s="13">
        <f t="shared" si="3"/>
        <v>0</v>
      </c>
      <c r="M29" s="72"/>
      <c r="N29" s="73"/>
      <c r="P29" s="69" t="str">
        <f>IF('Filtered Information'!$B$1&gt;=A26,"NO","YES")</f>
        <v>YES</v>
      </c>
      <c r="R29" s="74"/>
      <c r="S29" s="75"/>
      <c r="T29" s="75"/>
      <c r="U29" s="75"/>
      <c r="V29" s="75"/>
    </row>
    <row r="30" spans="1:28" s="74" customFormat="1" ht="13.5" thickBot="1">
      <c r="A30" s="83"/>
      <c r="B30" s="46" t="s">
        <v>60</v>
      </c>
      <c r="C30" s="14"/>
      <c r="D30" s="14"/>
      <c r="E30" s="14"/>
      <c r="F30" s="14"/>
      <c r="G30" s="14"/>
      <c r="H30" s="14"/>
      <c r="I30" s="14"/>
      <c r="J30" s="15">
        <f t="shared" si="2"/>
        <v>0</v>
      </c>
      <c r="K30" s="77">
        <f>IF(J30&gt;0,K26,)</f>
        <v>0</v>
      </c>
      <c r="L30" s="16">
        <f t="shared" si="3"/>
        <v>0</v>
      </c>
      <c r="M30" s="78" t="str">
        <f>IF(K26&gt;0,"UNION 3.5%:",0)</f>
        <v>UNION 3.5%:</v>
      </c>
      <c r="N30" s="79">
        <f>N28*0.035</f>
        <v>0</v>
      </c>
      <c r="O30" s="75"/>
      <c r="P30" s="80" t="str">
        <f>IF('Filtered Information'!$B$1&gt;=A26,"NO","YES")</f>
        <v>YES</v>
      </c>
      <c r="R30" s="38"/>
      <c r="S30" s="48"/>
      <c r="T30" s="48"/>
      <c r="U30" s="48"/>
      <c r="V30" s="48"/>
      <c r="AA30" s="81"/>
      <c r="AB30" s="81"/>
    </row>
    <row r="31" spans="1:28" s="53" customFormat="1" ht="13.5" thickTop="1">
      <c r="A31" s="55">
        <f>A26+1</f>
        <v>5</v>
      </c>
      <c r="B31" s="56" t="s">
        <v>54</v>
      </c>
      <c r="C31" s="8"/>
      <c r="D31" s="8"/>
      <c r="E31" s="8"/>
      <c r="F31" s="8"/>
      <c r="G31" s="8"/>
      <c r="H31" s="8"/>
      <c r="I31" s="8"/>
      <c r="J31" s="9">
        <f t="shared" ref="J31:J62" si="4">SUM(C31:I31)</f>
        <v>0</v>
      </c>
      <c r="K31" s="57" t="str">
        <f>IFERROR(VLOOKUP(A31,'Filtered Information'!$A$3:$D$64,2,FALSE),"0")</f>
        <v>0</v>
      </c>
      <c r="L31" s="10">
        <f t="shared" ref="L31:L62" si="5">J31*K31</f>
        <v>0</v>
      </c>
      <c r="M31" s="58" t="str">
        <f>IF(K31&gt;0,"SUBTOTAL:",0)</f>
        <v>SUBTOTAL:</v>
      </c>
      <c r="N31" s="59">
        <f>SUM(L31:L35)</f>
        <v>0</v>
      </c>
      <c r="O31" s="60"/>
      <c r="P31" s="61" t="str">
        <f>IF('Filtered Information'!$B$1&gt;=A31,"NO","YES")</f>
        <v>YES</v>
      </c>
      <c r="Q31" s="62"/>
      <c r="R31" s="38"/>
      <c r="S31" s="48"/>
      <c r="T31" s="48"/>
      <c r="U31" s="48"/>
      <c r="V31" s="48"/>
      <c r="AA31" s="63"/>
      <c r="AB31" s="63"/>
    </row>
    <row r="32" spans="1:28">
      <c r="A32" s="64" t="str">
        <f>IFERROR(VLOOKUP(A31,'Filtered Information'!$A$3:$E$66,4,FALSE),"-")</f>
        <v>-</v>
      </c>
      <c r="B32" s="27" t="s">
        <v>55</v>
      </c>
      <c r="C32" s="11"/>
      <c r="D32" s="11"/>
      <c r="E32" s="11"/>
      <c r="F32" s="11"/>
      <c r="G32" s="11"/>
      <c r="H32" s="11"/>
      <c r="I32" s="11"/>
      <c r="J32" s="12">
        <f t="shared" si="4"/>
        <v>0</v>
      </c>
      <c r="K32" s="65">
        <f>IF(J32&gt;0,K31*1.5,)</f>
        <v>0</v>
      </c>
      <c r="L32" s="13">
        <f t="shared" si="5"/>
        <v>0</v>
      </c>
      <c r="M32" s="66" t="s">
        <v>56</v>
      </c>
      <c r="N32" s="67">
        <f>N31*0.08</f>
        <v>0</v>
      </c>
      <c r="O32" s="68"/>
      <c r="P32" s="69" t="str">
        <f>IF('Filtered Information'!$B$1&gt;=A31,"NO","YES")</f>
        <v>YES</v>
      </c>
    </row>
    <row r="33" spans="1:28">
      <c r="A33" s="64" t="str">
        <f>IFERROR(VLOOKUP(A31,'Filtered Information'!$A$3:$E$66,3,FALSE),"-")</f>
        <v>-</v>
      </c>
      <c r="B33" s="27" t="s">
        <v>57</v>
      </c>
      <c r="C33" s="11"/>
      <c r="D33" s="11"/>
      <c r="E33" s="11"/>
      <c r="F33" s="11"/>
      <c r="G33" s="11"/>
      <c r="H33" s="11"/>
      <c r="I33" s="11"/>
      <c r="J33" s="12">
        <f t="shared" si="4"/>
        <v>0</v>
      </c>
      <c r="K33" s="65">
        <f>IF(J33&gt;0,K31*2,)</f>
        <v>0</v>
      </c>
      <c r="L33" s="13">
        <f t="shared" si="5"/>
        <v>0</v>
      </c>
      <c r="M33" s="70" t="str">
        <f>IF(K31&gt;0,"TOTAL WAGE:",0)</f>
        <v>TOTAL WAGE:</v>
      </c>
      <c r="N33" s="71">
        <f>N31+N32</f>
        <v>0</v>
      </c>
      <c r="O33" s="48">
        <f>N33</f>
        <v>0</v>
      </c>
      <c r="P33" s="69" t="str">
        <f>IF('Filtered Information'!$B$1&gt;=A31,"NO","YES")</f>
        <v>YES</v>
      </c>
    </row>
    <row r="34" spans="1:28">
      <c r="A34" s="82" t="str">
        <f>IFERROR(VLOOKUP(A31,'Filtered Information'!$A$3:$E$64,5,FALSE),"-")</f>
        <v>-</v>
      </c>
      <c r="B34" s="27" t="s">
        <v>58</v>
      </c>
      <c r="C34" s="11"/>
      <c r="D34" s="11"/>
      <c r="E34" s="11"/>
      <c r="F34" s="11"/>
      <c r="G34" s="11"/>
      <c r="H34" s="11"/>
      <c r="I34" s="11"/>
      <c r="J34" s="12">
        <f t="shared" si="4"/>
        <v>0</v>
      </c>
      <c r="K34" s="65"/>
      <c r="L34" s="13">
        <f t="shared" si="5"/>
        <v>0</v>
      </c>
      <c r="M34" s="72"/>
      <c r="N34" s="73"/>
      <c r="P34" s="69" t="str">
        <f>IF('Filtered Information'!$B$1&gt;=A31,"NO","YES")</f>
        <v>YES</v>
      </c>
      <c r="R34" s="74"/>
      <c r="S34" s="75"/>
      <c r="T34" s="75"/>
      <c r="U34" s="75"/>
      <c r="V34" s="75"/>
    </row>
    <row r="35" spans="1:28" s="74" customFormat="1" ht="13.5" thickBot="1">
      <c r="A35" s="83"/>
      <c r="B35" s="46" t="s">
        <v>60</v>
      </c>
      <c r="C35" s="14"/>
      <c r="D35" s="14"/>
      <c r="E35" s="14"/>
      <c r="F35" s="14"/>
      <c r="G35" s="14"/>
      <c r="H35" s="14"/>
      <c r="I35" s="14"/>
      <c r="J35" s="15">
        <f t="shared" si="4"/>
        <v>0</v>
      </c>
      <c r="K35" s="77">
        <f>IF(J35&gt;0,K31,)</f>
        <v>0</v>
      </c>
      <c r="L35" s="16">
        <f t="shared" si="5"/>
        <v>0</v>
      </c>
      <c r="M35" s="78" t="str">
        <f>IF(K31&gt;0,"UNION 3.5%:",0)</f>
        <v>UNION 3.5%:</v>
      </c>
      <c r="N35" s="79">
        <f>N33*0.035</f>
        <v>0</v>
      </c>
      <c r="O35" s="75"/>
      <c r="P35" s="80" t="str">
        <f>IF('Filtered Information'!$B$1&gt;=A31,"NO","YES")</f>
        <v>YES</v>
      </c>
      <c r="R35" s="38"/>
      <c r="S35" s="48"/>
      <c r="T35" s="48"/>
      <c r="U35" s="48"/>
      <c r="V35" s="48"/>
      <c r="AA35" s="81"/>
      <c r="AB35" s="81"/>
    </row>
    <row r="36" spans="1:28" s="53" customFormat="1" ht="13.5" thickTop="1">
      <c r="A36" s="55">
        <f>A31+1</f>
        <v>6</v>
      </c>
      <c r="B36" s="56" t="s">
        <v>54</v>
      </c>
      <c r="C36" s="8"/>
      <c r="D36" s="8"/>
      <c r="E36" s="8"/>
      <c r="F36" s="8"/>
      <c r="G36" s="8"/>
      <c r="H36" s="8"/>
      <c r="I36" s="8"/>
      <c r="J36" s="9">
        <f t="shared" si="4"/>
        <v>0</v>
      </c>
      <c r="K36" s="57" t="str">
        <f>IFERROR(VLOOKUP(A36,'Filtered Information'!$A$3:$D$64,2,FALSE),"0")</f>
        <v>0</v>
      </c>
      <c r="L36" s="10">
        <f t="shared" si="5"/>
        <v>0</v>
      </c>
      <c r="M36" s="58" t="str">
        <f>IF(K36&gt;0,"SUBTOTAL:",0)</f>
        <v>SUBTOTAL:</v>
      </c>
      <c r="N36" s="59">
        <f>SUM(L36:L40)</f>
        <v>0</v>
      </c>
      <c r="O36" s="60"/>
      <c r="P36" s="61" t="str">
        <f>IF('Filtered Information'!$B$1&gt;=A36,"NO","YES")</f>
        <v>YES</v>
      </c>
      <c r="Q36" s="62"/>
      <c r="R36" s="38"/>
      <c r="S36" s="48"/>
      <c r="T36" s="48"/>
      <c r="U36" s="48"/>
      <c r="V36" s="48"/>
      <c r="AA36" s="63"/>
      <c r="AB36" s="63"/>
    </row>
    <row r="37" spans="1:28">
      <c r="A37" s="64" t="str">
        <f>IFERROR(VLOOKUP(A36,'Filtered Information'!$A$3:$E$66,4,FALSE),"-")</f>
        <v>-</v>
      </c>
      <c r="B37" s="27" t="s">
        <v>55</v>
      </c>
      <c r="C37" s="11"/>
      <c r="D37" s="11"/>
      <c r="E37" s="11"/>
      <c r="F37" s="11"/>
      <c r="G37" s="11"/>
      <c r="H37" s="11"/>
      <c r="I37" s="11"/>
      <c r="J37" s="12">
        <f t="shared" si="4"/>
        <v>0</v>
      </c>
      <c r="K37" s="65">
        <f>IF(J37&gt;0,K36*1.5,)</f>
        <v>0</v>
      </c>
      <c r="L37" s="13">
        <f t="shared" si="5"/>
        <v>0</v>
      </c>
      <c r="M37" s="66" t="s">
        <v>56</v>
      </c>
      <c r="N37" s="67">
        <f>N36*0.08</f>
        <v>0</v>
      </c>
      <c r="O37" s="68"/>
      <c r="P37" s="69" t="str">
        <f>IF('Filtered Information'!$B$1&gt;=A36,"NO","YES")</f>
        <v>YES</v>
      </c>
    </row>
    <row r="38" spans="1:28">
      <c r="A38" s="64" t="str">
        <f>IFERROR(VLOOKUP(A36,'Filtered Information'!$A$3:$E$66,3,FALSE),"-")</f>
        <v>-</v>
      </c>
      <c r="B38" s="27" t="s">
        <v>57</v>
      </c>
      <c r="C38" s="11"/>
      <c r="D38" s="11"/>
      <c r="E38" s="11"/>
      <c r="F38" s="11"/>
      <c r="G38" s="11"/>
      <c r="H38" s="11"/>
      <c r="I38" s="11"/>
      <c r="J38" s="12">
        <f t="shared" si="4"/>
        <v>0</v>
      </c>
      <c r="K38" s="65">
        <f>IF(J38&gt;0,K36*2,)</f>
        <v>0</v>
      </c>
      <c r="L38" s="13">
        <f t="shared" si="5"/>
        <v>0</v>
      </c>
      <c r="M38" s="70" t="str">
        <f>IF(K36&gt;0,"TOTAL WAGE:",0)</f>
        <v>TOTAL WAGE:</v>
      </c>
      <c r="N38" s="71">
        <f>N36+N37</f>
        <v>0</v>
      </c>
      <c r="O38" s="48">
        <f>N38</f>
        <v>0</v>
      </c>
      <c r="P38" s="69" t="str">
        <f>IF('Filtered Information'!$B$1&gt;=A36,"NO","YES")</f>
        <v>YES</v>
      </c>
    </row>
    <row r="39" spans="1:28">
      <c r="A39" s="82" t="str">
        <f>IFERROR(VLOOKUP(A36,'Filtered Information'!$A$3:$E$64,5,FALSE),"-")</f>
        <v>-</v>
      </c>
      <c r="B39" s="27" t="s">
        <v>58</v>
      </c>
      <c r="C39" s="11"/>
      <c r="D39" s="11"/>
      <c r="E39" s="11"/>
      <c r="F39" s="11"/>
      <c r="G39" s="11"/>
      <c r="H39" s="11"/>
      <c r="I39" s="11"/>
      <c r="J39" s="12">
        <f t="shared" si="4"/>
        <v>0</v>
      </c>
      <c r="K39" s="65"/>
      <c r="L39" s="13">
        <f t="shared" si="5"/>
        <v>0</v>
      </c>
      <c r="M39" s="72"/>
      <c r="N39" s="73"/>
      <c r="P39" s="69" t="str">
        <f>IF('Filtered Information'!$B$1&gt;=A36,"NO","YES")</f>
        <v>YES</v>
      </c>
      <c r="R39" s="74"/>
      <c r="S39" s="75"/>
      <c r="T39" s="75"/>
      <c r="U39" s="75"/>
      <c r="V39" s="75"/>
    </row>
    <row r="40" spans="1:28" s="74" customFormat="1" ht="13.5" thickBot="1">
      <c r="A40" s="83"/>
      <c r="B40" s="46" t="s">
        <v>60</v>
      </c>
      <c r="C40" s="14"/>
      <c r="D40" s="14"/>
      <c r="E40" s="14"/>
      <c r="F40" s="14"/>
      <c r="G40" s="14"/>
      <c r="H40" s="14"/>
      <c r="I40" s="14"/>
      <c r="J40" s="15">
        <f t="shared" si="4"/>
        <v>0</v>
      </c>
      <c r="K40" s="77">
        <f>IF(J40&gt;0,K36,)</f>
        <v>0</v>
      </c>
      <c r="L40" s="16">
        <f t="shared" si="5"/>
        <v>0</v>
      </c>
      <c r="M40" s="78" t="str">
        <f>IF(K36&gt;0,"UNION 3.5%:",0)</f>
        <v>UNION 3.5%:</v>
      </c>
      <c r="N40" s="79">
        <f>N38*0.035</f>
        <v>0</v>
      </c>
      <c r="O40" s="75"/>
      <c r="P40" s="80" t="str">
        <f>IF('Filtered Information'!$B$1&gt;=A36,"NO","YES")</f>
        <v>YES</v>
      </c>
      <c r="R40" s="38"/>
      <c r="S40" s="48"/>
      <c r="T40" s="48"/>
      <c r="U40" s="48"/>
      <c r="V40" s="48"/>
      <c r="AA40" s="81"/>
      <c r="AB40" s="81"/>
    </row>
    <row r="41" spans="1:28" s="53" customFormat="1" ht="13.5" thickTop="1">
      <c r="A41" s="55">
        <f>A36+1</f>
        <v>7</v>
      </c>
      <c r="B41" s="56" t="s">
        <v>54</v>
      </c>
      <c r="C41" s="8"/>
      <c r="D41" s="8"/>
      <c r="E41" s="8"/>
      <c r="F41" s="8"/>
      <c r="G41" s="8"/>
      <c r="H41" s="8"/>
      <c r="I41" s="8"/>
      <c r="J41" s="9">
        <f t="shared" si="4"/>
        <v>0</v>
      </c>
      <c r="K41" s="57" t="str">
        <f>IFERROR(VLOOKUP(A41,'Filtered Information'!$A$3:$D$64,2,FALSE),"0")</f>
        <v>0</v>
      </c>
      <c r="L41" s="10">
        <f t="shared" si="5"/>
        <v>0</v>
      </c>
      <c r="M41" s="58" t="str">
        <f>IF(K41&gt;0,"SUBTOTAL:",0)</f>
        <v>SUBTOTAL:</v>
      </c>
      <c r="N41" s="59">
        <f>SUM(L41:L45)</f>
        <v>0</v>
      </c>
      <c r="O41" s="60"/>
      <c r="P41" s="61" t="str">
        <f>IF('Filtered Information'!$B$1&gt;=A41,"NO","YES")</f>
        <v>YES</v>
      </c>
      <c r="Q41" s="62"/>
      <c r="R41" s="38"/>
      <c r="S41" s="48"/>
      <c r="T41" s="48"/>
      <c r="U41" s="48"/>
      <c r="V41" s="48"/>
      <c r="AA41" s="63"/>
      <c r="AB41" s="63"/>
    </row>
    <row r="42" spans="1:28">
      <c r="A42" s="64" t="str">
        <f>IFERROR(VLOOKUP(A41,'Filtered Information'!$A$3:$E$66,4,FALSE),"-")</f>
        <v>-</v>
      </c>
      <c r="B42" s="27" t="s">
        <v>55</v>
      </c>
      <c r="C42" s="11"/>
      <c r="D42" s="11"/>
      <c r="E42" s="11"/>
      <c r="F42" s="11"/>
      <c r="G42" s="11"/>
      <c r="H42" s="11"/>
      <c r="I42" s="11"/>
      <c r="J42" s="12">
        <f t="shared" si="4"/>
        <v>0</v>
      </c>
      <c r="K42" s="65">
        <f>IF(J42&gt;0,K41*1.5,)</f>
        <v>0</v>
      </c>
      <c r="L42" s="13">
        <f t="shared" si="5"/>
        <v>0</v>
      </c>
      <c r="M42" s="66" t="s">
        <v>56</v>
      </c>
      <c r="N42" s="67">
        <f>N41*0.08</f>
        <v>0</v>
      </c>
      <c r="O42" s="68"/>
      <c r="P42" s="69" t="str">
        <f>IF('Filtered Information'!$B$1&gt;=A41,"NO","YES")</f>
        <v>YES</v>
      </c>
    </row>
    <row r="43" spans="1:28">
      <c r="A43" s="64" t="str">
        <f>IFERROR(VLOOKUP(A41,'Filtered Information'!$A$3:$E$66,3,FALSE),"-")</f>
        <v>-</v>
      </c>
      <c r="B43" s="27" t="s">
        <v>57</v>
      </c>
      <c r="C43" s="11"/>
      <c r="D43" s="11"/>
      <c r="E43" s="11"/>
      <c r="F43" s="11"/>
      <c r="G43" s="11"/>
      <c r="H43" s="11"/>
      <c r="I43" s="11"/>
      <c r="J43" s="12">
        <f t="shared" si="4"/>
        <v>0</v>
      </c>
      <c r="K43" s="65">
        <f>IF(J43&gt;0,K41*2,)</f>
        <v>0</v>
      </c>
      <c r="L43" s="13">
        <f t="shared" si="5"/>
        <v>0</v>
      </c>
      <c r="M43" s="70" t="str">
        <f>IF(K41&gt;0,"TOTAL WAGE:",0)</f>
        <v>TOTAL WAGE:</v>
      </c>
      <c r="N43" s="71">
        <f>N41+N42</f>
        <v>0</v>
      </c>
      <c r="O43" s="48">
        <f>N43</f>
        <v>0</v>
      </c>
      <c r="P43" s="69" t="str">
        <f>IF('Filtered Information'!$B$1&gt;=A41,"NO","YES")</f>
        <v>YES</v>
      </c>
    </row>
    <row r="44" spans="1:28">
      <c r="A44" s="82" t="str">
        <f>IFERROR(VLOOKUP(A41,'Filtered Information'!$A$3:$E$64,5,FALSE),"-")</f>
        <v>-</v>
      </c>
      <c r="B44" s="27" t="s">
        <v>58</v>
      </c>
      <c r="C44" s="11"/>
      <c r="D44" s="11"/>
      <c r="E44" s="11"/>
      <c r="F44" s="11"/>
      <c r="G44" s="11"/>
      <c r="H44" s="11"/>
      <c r="I44" s="11"/>
      <c r="J44" s="12">
        <f t="shared" si="4"/>
        <v>0</v>
      </c>
      <c r="K44" s="65"/>
      <c r="L44" s="13">
        <f t="shared" si="5"/>
        <v>0</v>
      </c>
      <c r="M44" s="72"/>
      <c r="N44" s="73"/>
      <c r="P44" s="69" t="str">
        <f>IF('Filtered Information'!$B$1&gt;=A41,"NO","YES")</f>
        <v>YES</v>
      </c>
      <c r="R44" s="74"/>
      <c r="S44" s="75"/>
      <c r="T44" s="75"/>
      <c r="U44" s="75"/>
      <c r="V44" s="75"/>
    </row>
    <row r="45" spans="1:28" s="74" customFormat="1" ht="13.5" thickBot="1">
      <c r="A45" s="83"/>
      <c r="B45" s="46" t="s">
        <v>60</v>
      </c>
      <c r="C45" s="14"/>
      <c r="D45" s="14"/>
      <c r="E45" s="14"/>
      <c r="F45" s="14"/>
      <c r="G45" s="14"/>
      <c r="H45" s="14"/>
      <c r="I45" s="14"/>
      <c r="J45" s="15">
        <f t="shared" si="4"/>
        <v>0</v>
      </c>
      <c r="K45" s="77">
        <f>IF(J45&gt;0,K41,)</f>
        <v>0</v>
      </c>
      <c r="L45" s="16">
        <f t="shared" si="5"/>
        <v>0</v>
      </c>
      <c r="M45" s="78" t="str">
        <f>IF(K41&gt;0,"UNION 3.5%:",0)</f>
        <v>UNION 3.5%:</v>
      </c>
      <c r="N45" s="79">
        <f>N43*0.035</f>
        <v>0</v>
      </c>
      <c r="O45" s="75"/>
      <c r="P45" s="80" t="str">
        <f>IF('Filtered Information'!$B$1&gt;=A41,"NO","YES")</f>
        <v>YES</v>
      </c>
      <c r="R45" s="38"/>
      <c r="S45" s="48"/>
      <c r="T45" s="48"/>
      <c r="U45" s="48"/>
      <c r="V45" s="48"/>
      <c r="AA45" s="81"/>
      <c r="AB45" s="81"/>
    </row>
    <row r="46" spans="1:28" s="53" customFormat="1" ht="13.5" thickTop="1">
      <c r="A46" s="55">
        <f>A41+1</f>
        <v>8</v>
      </c>
      <c r="B46" s="56" t="s">
        <v>54</v>
      </c>
      <c r="C46" s="8"/>
      <c r="D46" s="8"/>
      <c r="E46" s="8"/>
      <c r="F46" s="8"/>
      <c r="G46" s="8"/>
      <c r="H46" s="8"/>
      <c r="I46" s="8"/>
      <c r="J46" s="9">
        <f t="shared" si="4"/>
        <v>0</v>
      </c>
      <c r="K46" s="57" t="str">
        <f>IFERROR(VLOOKUP(A46,'Filtered Information'!$A$3:$D$64,2,FALSE),"0")</f>
        <v>0</v>
      </c>
      <c r="L46" s="10">
        <f t="shared" si="5"/>
        <v>0</v>
      </c>
      <c r="M46" s="58" t="str">
        <f>IF(K46&gt;0,"SUBTOTAL:",0)</f>
        <v>SUBTOTAL:</v>
      </c>
      <c r="N46" s="59">
        <f>SUM(L46:L50)</f>
        <v>0</v>
      </c>
      <c r="O46" s="60"/>
      <c r="P46" s="61" t="str">
        <f>IF('Filtered Information'!$B$1&gt;=A46,"NO","YES")</f>
        <v>YES</v>
      </c>
      <c r="Q46" s="62"/>
      <c r="R46" s="38"/>
      <c r="S46" s="48"/>
      <c r="T46" s="48"/>
      <c r="U46" s="48"/>
      <c r="V46" s="48"/>
      <c r="AA46" s="63"/>
      <c r="AB46" s="63"/>
    </row>
    <row r="47" spans="1:28">
      <c r="A47" s="64" t="str">
        <f>IFERROR(VLOOKUP(A46,'Filtered Information'!$A$3:$E$66,4,FALSE),"-")</f>
        <v>-</v>
      </c>
      <c r="B47" s="27" t="s">
        <v>55</v>
      </c>
      <c r="C47" s="11"/>
      <c r="D47" s="11"/>
      <c r="E47" s="11"/>
      <c r="F47" s="11"/>
      <c r="G47" s="11"/>
      <c r="H47" s="11"/>
      <c r="I47" s="11"/>
      <c r="J47" s="12">
        <f t="shared" si="4"/>
        <v>0</v>
      </c>
      <c r="K47" s="65">
        <f>IF(J47&gt;0,K46*1.5,)</f>
        <v>0</v>
      </c>
      <c r="L47" s="13">
        <f t="shared" si="5"/>
        <v>0</v>
      </c>
      <c r="M47" s="66" t="s">
        <v>56</v>
      </c>
      <c r="N47" s="67">
        <f>N46*0.08</f>
        <v>0</v>
      </c>
      <c r="O47" s="68"/>
      <c r="P47" s="69" t="str">
        <f>IF('Filtered Information'!$B$1&gt;=A46,"NO","YES")</f>
        <v>YES</v>
      </c>
    </row>
    <row r="48" spans="1:28">
      <c r="A48" s="64" t="str">
        <f>IFERROR(VLOOKUP(A46,'Filtered Information'!$A$3:$E$66,3,FALSE),"-")</f>
        <v>-</v>
      </c>
      <c r="B48" s="27" t="s">
        <v>57</v>
      </c>
      <c r="C48" s="11"/>
      <c r="D48" s="11"/>
      <c r="E48" s="11"/>
      <c r="F48" s="11"/>
      <c r="G48" s="11"/>
      <c r="H48" s="11"/>
      <c r="I48" s="11"/>
      <c r="J48" s="12">
        <f t="shared" si="4"/>
        <v>0</v>
      </c>
      <c r="K48" s="65">
        <f>IF(J48&gt;0,K46*2,)</f>
        <v>0</v>
      </c>
      <c r="L48" s="13">
        <f t="shared" si="5"/>
        <v>0</v>
      </c>
      <c r="M48" s="70" t="str">
        <f>IF(K46&gt;0,"TOTAL WAGE:",0)</f>
        <v>TOTAL WAGE:</v>
      </c>
      <c r="N48" s="71">
        <f>N46+N47</f>
        <v>0</v>
      </c>
      <c r="O48" s="48">
        <f>N48</f>
        <v>0</v>
      </c>
      <c r="P48" s="69" t="str">
        <f>IF('Filtered Information'!$B$1&gt;=A46,"NO","YES")</f>
        <v>YES</v>
      </c>
    </row>
    <row r="49" spans="1:28">
      <c r="A49" s="82" t="str">
        <f>IFERROR(VLOOKUP(A46,'Filtered Information'!$A$3:$E$64,5,FALSE),"-")</f>
        <v>-</v>
      </c>
      <c r="B49" s="27" t="s">
        <v>58</v>
      </c>
      <c r="C49" s="11"/>
      <c r="D49" s="11"/>
      <c r="E49" s="11"/>
      <c r="F49" s="11"/>
      <c r="G49" s="11"/>
      <c r="H49" s="11"/>
      <c r="I49" s="11"/>
      <c r="J49" s="12">
        <f t="shared" si="4"/>
        <v>0</v>
      </c>
      <c r="K49" s="65"/>
      <c r="L49" s="13">
        <f t="shared" si="5"/>
        <v>0</v>
      </c>
      <c r="M49" s="72"/>
      <c r="N49" s="73"/>
      <c r="P49" s="69" t="str">
        <f>IF('Filtered Information'!$B$1&gt;=A46,"NO","YES")</f>
        <v>YES</v>
      </c>
      <c r="R49" s="74"/>
      <c r="S49" s="75"/>
      <c r="T49" s="75"/>
      <c r="U49" s="75"/>
      <c r="V49" s="75"/>
    </row>
    <row r="50" spans="1:28" s="74" customFormat="1" ht="13.5" thickBot="1">
      <c r="A50" s="83"/>
      <c r="B50" s="46" t="s">
        <v>60</v>
      </c>
      <c r="C50" s="14"/>
      <c r="D50" s="14"/>
      <c r="E50" s="14"/>
      <c r="F50" s="14"/>
      <c r="G50" s="14"/>
      <c r="H50" s="14"/>
      <c r="I50" s="14"/>
      <c r="J50" s="15">
        <f t="shared" si="4"/>
        <v>0</v>
      </c>
      <c r="K50" s="77">
        <f>IF(J50&gt;0,K46,)</f>
        <v>0</v>
      </c>
      <c r="L50" s="16">
        <f t="shared" si="5"/>
        <v>0</v>
      </c>
      <c r="M50" s="78" t="str">
        <f>IF(K46&gt;0,"UNION 3.5%:",0)</f>
        <v>UNION 3.5%:</v>
      </c>
      <c r="N50" s="79">
        <f>N48*0.035</f>
        <v>0</v>
      </c>
      <c r="O50" s="75"/>
      <c r="P50" s="80" t="str">
        <f>IF('Filtered Information'!$B$1&gt;=A46,"NO","YES")</f>
        <v>YES</v>
      </c>
      <c r="R50" s="38"/>
      <c r="S50" s="48"/>
      <c r="T50" s="48"/>
      <c r="U50" s="48"/>
      <c r="V50" s="48"/>
      <c r="AA50" s="81"/>
      <c r="AB50" s="81"/>
    </row>
    <row r="51" spans="1:28" s="53" customFormat="1" ht="13.5" thickTop="1">
      <c r="A51" s="55">
        <f>A46+1</f>
        <v>9</v>
      </c>
      <c r="B51" s="56" t="s">
        <v>54</v>
      </c>
      <c r="C51" s="8"/>
      <c r="D51" s="8"/>
      <c r="E51" s="8"/>
      <c r="F51" s="8"/>
      <c r="G51" s="8"/>
      <c r="H51" s="8"/>
      <c r="I51" s="8"/>
      <c r="J51" s="9">
        <f t="shared" si="4"/>
        <v>0</v>
      </c>
      <c r="K51" s="57" t="str">
        <f>IFERROR(VLOOKUP(A51,'Filtered Information'!$A$3:$D$64,2,FALSE),"0")</f>
        <v>0</v>
      </c>
      <c r="L51" s="10">
        <f t="shared" si="5"/>
        <v>0</v>
      </c>
      <c r="M51" s="58" t="str">
        <f>IF(K51&gt;0,"SUBTOTAL:",0)</f>
        <v>SUBTOTAL:</v>
      </c>
      <c r="N51" s="59">
        <f>SUM(L51:L55)</f>
        <v>0</v>
      </c>
      <c r="O51" s="60"/>
      <c r="P51" s="61" t="str">
        <f>IF('Filtered Information'!$B$1&gt;=A51,"NO","YES")</f>
        <v>YES</v>
      </c>
      <c r="Q51" s="62"/>
      <c r="R51" s="38"/>
      <c r="S51" s="48"/>
      <c r="T51" s="48"/>
      <c r="U51" s="48"/>
      <c r="V51" s="48"/>
      <c r="AA51" s="63"/>
      <c r="AB51" s="63"/>
    </row>
    <row r="52" spans="1:28">
      <c r="A52" s="64" t="str">
        <f>IFERROR(VLOOKUP(A51,'Filtered Information'!$A$3:$E$66,4,FALSE),"-")</f>
        <v>-</v>
      </c>
      <c r="B52" s="27" t="s">
        <v>55</v>
      </c>
      <c r="C52" s="11"/>
      <c r="D52" s="11"/>
      <c r="E52" s="11"/>
      <c r="F52" s="11"/>
      <c r="G52" s="11"/>
      <c r="H52" s="11"/>
      <c r="I52" s="11"/>
      <c r="J52" s="12">
        <f t="shared" si="4"/>
        <v>0</v>
      </c>
      <c r="K52" s="65">
        <f>IF(J52&gt;0,K51*1.5,)</f>
        <v>0</v>
      </c>
      <c r="L52" s="13">
        <f t="shared" si="5"/>
        <v>0</v>
      </c>
      <c r="M52" s="66" t="s">
        <v>56</v>
      </c>
      <c r="N52" s="67">
        <f>N51*0.08</f>
        <v>0</v>
      </c>
      <c r="O52" s="68"/>
      <c r="P52" s="69" t="str">
        <f>IF('Filtered Information'!$B$1&gt;=A51,"NO","YES")</f>
        <v>YES</v>
      </c>
    </row>
    <row r="53" spans="1:28">
      <c r="A53" s="64" t="str">
        <f>IFERROR(VLOOKUP(A51,'Filtered Information'!$A$3:$E$66,3,FALSE),"-")</f>
        <v>-</v>
      </c>
      <c r="B53" s="27" t="s">
        <v>57</v>
      </c>
      <c r="C53" s="11"/>
      <c r="D53" s="11"/>
      <c r="E53" s="11"/>
      <c r="F53" s="11"/>
      <c r="G53" s="11"/>
      <c r="H53" s="11"/>
      <c r="I53" s="11"/>
      <c r="J53" s="12">
        <f t="shared" si="4"/>
        <v>0</v>
      </c>
      <c r="K53" s="65">
        <f>IF(J53&gt;0,K51*2,)</f>
        <v>0</v>
      </c>
      <c r="L53" s="13">
        <f t="shared" si="5"/>
        <v>0</v>
      </c>
      <c r="M53" s="70" t="str">
        <f>IF(K51&gt;0,"TOTAL WAGE:",0)</f>
        <v>TOTAL WAGE:</v>
      </c>
      <c r="N53" s="71">
        <f>N51+N52</f>
        <v>0</v>
      </c>
      <c r="O53" s="48">
        <f>N53</f>
        <v>0</v>
      </c>
      <c r="P53" s="69" t="str">
        <f>IF('Filtered Information'!$B$1&gt;=A51,"NO","YES")</f>
        <v>YES</v>
      </c>
    </row>
    <row r="54" spans="1:28">
      <c r="A54" s="82" t="str">
        <f>IFERROR(VLOOKUP(A51,'Filtered Information'!$A$3:$E$64,5,FALSE),"-")</f>
        <v>-</v>
      </c>
      <c r="B54" s="27" t="s">
        <v>58</v>
      </c>
      <c r="C54" s="11"/>
      <c r="D54" s="11"/>
      <c r="E54" s="11"/>
      <c r="F54" s="11"/>
      <c r="G54" s="11"/>
      <c r="H54" s="11"/>
      <c r="I54" s="11"/>
      <c r="J54" s="12">
        <f t="shared" si="4"/>
        <v>0</v>
      </c>
      <c r="K54" s="65"/>
      <c r="L54" s="13">
        <f t="shared" si="5"/>
        <v>0</v>
      </c>
      <c r="M54" s="72"/>
      <c r="N54" s="73"/>
      <c r="P54" s="69" t="str">
        <f>IF('Filtered Information'!$B$1&gt;=A51,"NO","YES")</f>
        <v>YES</v>
      </c>
      <c r="R54" s="74"/>
      <c r="S54" s="75"/>
      <c r="T54" s="75"/>
      <c r="U54" s="75"/>
      <c r="V54" s="75"/>
    </row>
    <row r="55" spans="1:28" s="74" customFormat="1" ht="13.5" thickBot="1">
      <c r="A55" s="83"/>
      <c r="B55" s="46" t="s">
        <v>60</v>
      </c>
      <c r="C55" s="14"/>
      <c r="D55" s="14"/>
      <c r="E55" s="14"/>
      <c r="F55" s="14"/>
      <c r="G55" s="14"/>
      <c r="H55" s="14"/>
      <c r="I55" s="14"/>
      <c r="J55" s="15">
        <f t="shared" si="4"/>
        <v>0</v>
      </c>
      <c r="K55" s="77">
        <f>IF(J55&gt;0,K51,)</f>
        <v>0</v>
      </c>
      <c r="L55" s="16">
        <f t="shared" si="5"/>
        <v>0</v>
      </c>
      <c r="M55" s="78" t="str">
        <f>IF(K51&gt;0,"UNION 3.5%:",0)</f>
        <v>UNION 3.5%:</v>
      </c>
      <c r="N55" s="79">
        <f>N53*0.035</f>
        <v>0</v>
      </c>
      <c r="O55" s="75"/>
      <c r="P55" s="80" t="str">
        <f>IF('Filtered Information'!$B$1&gt;=A51,"NO","YES")</f>
        <v>YES</v>
      </c>
      <c r="R55" s="38"/>
      <c r="S55" s="48"/>
      <c r="T55" s="48"/>
      <c r="U55" s="48"/>
      <c r="V55" s="48"/>
      <c r="AA55" s="81"/>
      <c r="AB55" s="81"/>
    </row>
    <row r="56" spans="1:28" s="53" customFormat="1" ht="13.5" hidden="1" thickTop="1">
      <c r="A56" s="55">
        <f>A51+1</f>
        <v>10</v>
      </c>
      <c r="B56" s="56" t="s">
        <v>54</v>
      </c>
      <c r="C56" s="8"/>
      <c r="D56" s="8"/>
      <c r="E56" s="8"/>
      <c r="F56" s="8"/>
      <c r="G56" s="8"/>
      <c r="H56" s="8"/>
      <c r="I56" s="8"/>
      <c r="J56" s="9">
        <f t="shared" si="4"/>
        <v>0</v>
      </c>
      <c r="K56" s="57" t="str">
        <f>IFERROR(VLOOKUP(A56,'Filtered Information'!$A$3:$D$64,2,FALSE),"0")</f>
        <v>0</v>
      </c>
      <c r="L56" s="10">
        <f t="shared" si="5"/>
        <v>0</v>
      </c>
      <c r="M56" s="58" t="str">
        <f>IF(K56&gt;0,"SUBTOTAL:",0)</f>
        <v>SUBTOTAL:</v>
      </c>
      <c r="N56" s="59">
        <f>SUM(L56:L60)</f>
        <v>0</v>
      </c>
      <c r="O56" s="60"/>
      <c r="P56" s="61" t="str">
        <f>IF('Filtered Information'!$B$1&gt;=A56,"NO","YES")</f>
        <v>YES</v>
      </c>
      <c r="Q56" s="62"/>
      <c r="R56" s="38"/>
      <c r="S56" s="48"/>
      <c r="T56" s="48"/>
      <c r="U56" s="48"/>
      <c r="V56" s="48"/>
      <c r="AA56" s="63"/>
      <c r="AB56" s="63"/>
    </row>
    <row r="57" spans="1:28" hidden="1">
      <c r="A57" s="64" t="str">
        <f>IFERROR(VLOOKUP(A56,'Filtered Information'!$A$3:$E$66,4,FALSE),"-")</f>
        <v>-</v>
      </c>
      <c r="B57" s="27" t="s">
        <v>55</v>
      </c>
      <c r="C57" s="11"/>
      <c r="D57" s="11"/>
      <c r="E57" s="11"/>
      <c r="F57" s="11"/>
      <c r="G57" s="11"/>
      <c r="H57" s="11"/>
      <c r="I57" s="11"/>
      <c r="J57" s="12">
        <f t="shared" si="4"/>
        <v>0</v>
      </c>
      <c r="K57" s="65">
        <f>IF(J57&gt;0,K56*1.5,)</f>
        <v>0</v>
      </c>
      <c r="L57" s="13">
        <f t="shared" si="5"/>
        <v>0</v>
      </c>
      <c r="M57" s="66" t="s">
        <v>56</v>
      </c>
      <c r="N57" s="67">
        <f>N56*0.08</f>
        <v>0</v>
      </c>
      <c r="O57" s="68"/>
      <c r="P57" s="69" t="str">
        <f>IF('Filtered Information'!$B$1&gt;=A56,"NO","YES")</f>
        <v>YES</v>
      </c>
    </row>
    <row r="58" spans="1:28" hidden="1">
      <c r="A58" s="64" t="str">
        <f>IFERROR(VLOOKUP(A56,'Filtered Information'!$A$3:$E$66,3,FALSE),"-")</f>
        <v>-</v>
      </c>
      <c r="B58" s="27" t="s">
        <v>57</v>
      </c>
      <c r="C58" s="11"/>
      <c r="D58" s="11"/>
      <c r="E58" s="11"/>
      <c r="F58" s="11"/>
      <c r="G58" s="11"/>
      <c r="H58" s="11"/>
      <c r="I58" s="11"/>
      <c r="J58" s="12">
        <f t="shared" si="4"/>
        <v>0</v>
      </c>
      <c r="K58" s="65">
        <f>IF(J58&gt;0,K56*2,)</f>
        <v>0</v>
      </c>
      <c r="L58" s="13">
        <f t="shared" si="5"/>
        <v>0</v>
      </c>
      <c r="M58" s="70" t="str">
        <f>IF(K56&gt;0,"TOTAL WAGE:",0)</f>
        <v>TOTAL WAGE:</v>
      </c>
      <c r="N58" s="71">
        <f>N56+N57</f>
        <v>0</v>
      </c>
      <c r="O58" s="48">
        <f>N58</f>
        <v>0</v>
      </c>
      <c r="P58" s="69" t="str">
        <f>IF('Filtered Information'!$B$1&gt;=A56,"NO","YES")</f>
        <v>YES</v>
      </c>
    </row>
    <row r="59" spans="1:28" hidden="1">
      <c r="A59" s="82" t="str">
        <f>IFERROR(VLOOKUP(A56,'Filtered Information'!$A$3:$E$64,5,FALSE),"-")</f>
        <v>-</v>
      </c>
      <c r="B59" s="27" t="s">
        <v>58</v>
      </c>
      <c r="C59" s="11"/>
      <c r="D59" s="11"/>
      <c r="E59" s="11"/>
      <c r="F59" s="11"/>
      <c r="G59" s="11"/>
      <c r="H59" s="11"/>
      <c r="I59" s="11"/>
      <c r="J59" s="12">
        <f t="shared" si="4"/>
        <v>0</v>
      </c>
      <c r="K59" s="65"/>
      <c r="L59" s="13">
        <f t="shared" si="5"/>
        <v>0</v>
      </c>
      <c r="M59" s="72"/>
      <c r="N59" s="73"/>
      <c r="P59" s="69" t="str">
        <f>IF('Filtered Information'!$B$1&gt;=A56,"NO","YES")</f>
        <v>YES</v>
      </c>
      <c r="R59" s="74"/>
      <c r="S59" s="75"/>
      <c r="T59" s="75"/>
      <c r="U59" s="75"/>
      <c r="V59" s="75"/>
    </row>
    <row r="60" spans="1:28" s="74" customFormat="1" ht="13.5" hidden="1" thickBot="1">
      <c r="A60" s="83"/>
      <c r="B60" s="46" t="s">
        <v>60</v>
      </c>
      <c r="C60" s="14"/>
      <c r="D60" s="14"/>
      <c r="E60" s="14"/>
      <c r="F60" s="14"/>
      <c r="G60" s="14"/>
      <c r="H60" s="14"/>
      <c r="I60" s="14"/>
      <c r="J60" s="15">
        <f t="shared" si="4"/>
        <v>0</v>
      </c>
      <c r="K60" s="77">
        <f>IF(J60&gt;0,K56,)</f>
        <v>0</v>
      </c>
      <c r="L60" s="16">
        <f t="shared" si="5"/>
        <v>0</v>
      </c>
      <c r="M60" s="78" t="str">
        <f>IF(K56&gt;0,"UNION 3.5%:",0)</f>
        <v>UNION 3.5%:</v>
      </c>
      <c r="N60" s="79">
        <f>N58*0.035</f>
        <v>0</v>
      </c>
      <c r="O60" s="75"/>
      <c r="P60" s="80" t="str">
        <f>IF('Filtered Information'!$B$1&gt;=A56,"NO","YES")</f>
        <v>YES</v>
      </c>
      <c r="R60" s="38"/>
      <c r="S60" s="48"/>
      <c r="T60" s="48"/>
      <c r="U60" s="48"/>
      <c r="V60" s="48"/>
      <c r="AA60" s="81"/>
      <c r="AB60" s="81"/>
    </row>
    <row r="61" spans="1:28" s="53" customFormat="1" ht="13.5" hidden="1" thickTop="1">
      <c r="A61" s="55">
        <f>A56+1</f>
        <v>11</v>
      </c>
      <c r="B61" s="56" t="s">
        <v>54</v>
      </c>
      <c r="C61" s="8"/>
      <c r="D61" s="8"/>
      <c r="E61" s="8"/>
      <c r="F61" s="8"/>
      <c r="G61" s="8"/>
      <c r="H61" s="8"/>
      <c r="I61" s="8"/>
      <c r="J61" s="9">
        <f t="shared" si="4"/>
        <v>0</v>
      </c>
      <c r="K61" s="57" t="str">
        <f>IFERROR(VLOOKUP(A61,'Filtered Information'!$A$3:$D$64,2,FALSE),"0")</f>
        <v>0</v>
      </c>
      <c r="L61" s="10">
        <f t="shared" si="5"/>
        <v>0</v>
      </c>
      <c r="M61" s="58" t="str">
        <f>IF(K61&gt;0,"SUBTOTAL:",0)</f>
        <v>SUBTOTAL:</v>
      </c>
      <c r="N61" s="59">
        <f>SUM(L61:L65)</f>
        <v>0</v>
      </c>
      <c r="O61" s="60"/>
      <c r="P61" s="61" t="str">
        <f>IF('Filtered Information'!$B$1&gt;=A61,"NO","YES")</f>
        <v>YES</v>
      </c>
      <c r="Q61" s="62"/>
      <c r="R61" s="38"/>
      <c r="S61" s="48"/>
      <c r="T61" s="48"/>
      <c r="U61" s="48"/>
      <c r="V61" s="48"/>
      <c r="AA61" s="63"/>
      <c r="AB61" s="63"/>
    </row>
    <row r="62" spans="1:28" hidden="1">
      <c r="A62" s="64" t="str">
        <f>IFERROR(VLOOKUP(A61,'Filtered Information'!$A$3:$E$66,4,FALSE),"-")</f>
        <v>-</v>
      </c>
      <c r="B62" s="27" t="s">
        <v>55</v>
      </c>
      <c r="C62" s="11"/>
      <c r="D62" s="11"/>
      <c r="E62" s="11"/>
      <c r="F62" s="11"/>
      <c r="G62" s="11"/>
      <c r="H62" s="11"/>
      <c r="I62" s="11"/>
      <c r="J62" s="12">
        <f t="shared" si="4"/>
        <v>0</v>
      </c>
      <c r="K62" s="65">
        <f>IF(J62&gt;0,K61*1.5,)</f>
        <v>0</v>
      </c>
      <c r="L62" s="13">
        <f t="shared" si="5"/>
        <v>0</v>
      </c>
      <c r="M62" s="66" t="s">
        <v>56</v>
      </c>
      <c r="N62" s="67">
        <f>N61*0.08</f>
        <v>0</v>
      </c>
      <c r="O62" s="68"/>
      <c r="P62" s="69" t="str">
        <f>IF('Filtered Information'!$B$1&gt;=A61,"NO","YES")</f>
        <v>YES</v>
      </c>
    </row>
    <row r="63" spans="1:28" hidden="1">
      <c r="A63" s="64" t="str">
        <f>IFERROR(VLOOKUP(A61,'Filtered Information'!$A$3:$E$66,3,FALSE),"-")</f>
        <v>-</v>
      </c>
      <c r="B63" s="27" t="s">
        <v>57</v>
      </c>
      <c r="C63" s="11"/>
      <c r="D63" s="11"/>
      <c r="E63" s="11"/>
      <c r="F63" s="11"/>
      <c r="G63" s="11"/>
      <c r="H63" s="11"/>
      <c r="I63" s="11"/>
      <c r="J63" s="12">
        <f t="shared" ref="J63:J94" si="6">SUM(C63:I63)</f>
        <v>0</v>
      </c>
      <c r="K63" s="65">
        <f>IF(J63&gt;0,K61*2,)</f>
        <v>0</v>
      </c>
      <c r="L63" s="13">
        <f t="shared" ref="L63:L94" si="7">J63*K63</f>
        <v>0</v>
      </c>
      <c r="M63" s="70" t="str">
        <f>IF(K61&gt;0,"TOTAL WAGE:",0)</f>
        <v>TOTAL WAGE:</v>
      </c>
      <c r="N63" s="71">
        <f>N61+N62</f>
        <v>0</v>
      </c>
      <c r="O63" s="48">
        <f>N63</f>
        <v>0</v>
      </c>
      <c r="P63" s="69" t="str">
        <f>IF('Filtered Information'!$B$1&gt;=A61,"NO","YES")</f>
        <v>YES</v>
      </c>
    </row>
    <row r="64" spans="1:28" hidden="1">
      <c r="A64" s="82" t="str">
        <f>IFERROR(VLOOKUP(A61,'Filtered Information'!$A$3:$E$64,5,FALSE),"-")</f>
        <v>-</v>
      </c>
      <c r="B64" s="27" t="s">
        <v>58</v>
      </c>
      <c r="C64" s="11"/>
      <c r="D64" s="11"/>
      <c r="E64" s="11"/>
      <c r="F64" s="11"/>
      <c r="G64" s="11"/>
      <c r="H64" s="11"/>
      <c r="I64" s="11"/>
      <c r="J64" s="12">
        <f t="shared" si="6"/>
        <v>0</v>
      </c>
      <c r="K64" s="65"/>
      <c r="L64" s="13">
        <f t="shared" si="7"/>
        <v>0</v>
      </c>
      <c r="M64" s="72"/>
      <c r="N64" s="73"/>
      <c r="P64" s="69" t="str">
        <f>IF('Filtered Information'!$B$1&gt;=A61,"NO","YES")</f>
        <v>YES</v>
      </c>
      <c r="R64" s="74"/>
      <c r="S64" s="75"/>
      <c r="T64" s="75"/>
      <c r="U64" s="75"/>
      <c r="V64" s="75"/>
    </row>
    <row r="65" spans="1:28" s="74" customFormat="1" ht="13.5" hidden="1" thickBot="1">
      <c r="A65" s="83"/>
      <c r="B65" s="46" t="s">
        <v>60</v>
      </c>
      <c r="C65" s="14"/>
      <c r="D65" s="14"/>
      <c r="E65" s="14"/>
      <c r="F65" s="14"/>
      <c r="G65" s="14"/>
      <c r="H65" s="14"/>
      <c r="I65" s="14"/>
      <c r="J65" s="15">
        <f t="shared" si="6"/>
        <v>0</v>
      </c>
      <c r="K65" s="77">
        <f>IF(J65&gt;0,K61,)</f>
        <v>0</v>
      </c>
      <c r="L65" s="16">
        <f t="shared" si="7"/>
        <v>0</v>
      </c>
      <c r="M65" s="78" t="str">
        <f>IF(K61&gt;0,"UNION 3.5%:",0)</f>
        <v>UNION 3.5%:</v>
      </c>
      <c r="N65" s="79">
        <f>N63*0.035</f>
        <v>0</v>
      </c>
      <c r="O65" s="75"/>
      <c r="P65" s="80" t="str">
        <f>IF('Filtered Information'!$B$1&gt;=A61,"NO","YES")</f>
        <v>YES</v>
      </c>
      <c r="R65" s="38"/>
      <c r="S65" s="48"/>
      <c r="T65" s="48"/>
      <c r="U65" s="48"/>
      <c r="V65" s="48"/>
      <c r="AA65" s="81"/>
      <c r="AB65" s="81"/>
    </row>
    <row r="66" spans="1:28" s="53" customFormat="1" ht="13.5" hidden="1" thickTop="1">
      <c r="A66" s="55">
        <f>A61+1</f>
        <v>12</v>
      </c>
      <c r="B66" s="56" t="s">
        <v>54</v>
      </c>
      <c r="C66" s="8"/>
      <c r="D66" s="8"/>
      <c r="E66" s="8"/>
      <c r="F66" s="8"/>
      <c r="G66" s="8"/>
      <c r="H66" s="8"/>
      <c r="I66" s="8"/>
      <c r="J66" s="9">
        <f t="shared" si="6"/>
        <v>0</v>
      </c>
      <c r="K66" s="57" t="str">
        <f>IFERROR(VLOOKUP(A66,'Filtered Information'!$A$3:$D$64,2,FALSE),"0")</f>
        <v>0</v>
      </c>
      <c r="L66" s="10">
        <f t="shared" si="7"/>
        <v>0</v>
      </c>
      <c r="M66" s="58" t="str">
        <f>IF(K66&gt;0,"SUBTOTAL:",0)</f>
        <v>SUBTOTAL:</v>
      </c>
      <c r="N66" s="59">
        <f>SUM(L66:L70)</f>
        <v>0</v>
      </c>
      <c r="O66" s="60"/>
      <c r="P66" s="61" t="str">
        <f>IF('Filtered Information'!$B$1&gt;=A66,"NO","YES")</f>
        <v>YES</v>
      </c>
      <c r="Q66" s="62"/>
      <c r="R66" s="38"/>
      <c r="S66" s="48"/>
      <c r="T66" s="48"/>
      <c r="U66" s="48"/>
      <c r="V66" s="48"/>
      <c r="AA66" s="63"/>
      <c r="AB66" s="63"/>
    </row>
    <row r="67" spans="1:28" hidden="1">
      <c r="A67" s="64" t="str">
        <f>IFERROR(VLOOKUP(A66,'Filtered Information'!$A$3:$E$66,4,FALSE),"-")</f>
        <v>-</v>
      </c>
      <c r="B67" s="27" t="s">
        <v>55</v>
      </c>
      <c r="C67" s="11"/>
      <c r="D67" s="11"/>
      <c r="E67" s="11"/>
      <c r="F67" s="11"/>
      <c r="G67" s="11"/>
      <c r="H67" s="11"/>
      <c r="I67" s="11"/>
      <c r="J67" s="12">
        <f t="shared" si="6"/>
        <v>0</v>
      </c>
      <c r="K67" s="65">
        <f>IF(J67&gt;0,K66*1.5,)</f>
        <v>0</v>
      </c>
      <c r="L67" s="13">
        <f t="shared" si="7"/>
        <v>0</v>
      </c>
      <c r="M67" s="66" t="s">
        <v>56</v>
      </c>
      <c r="N67" s="67">
        <f>N66*0.08</f>
        <v>0</v>
      </c>
      <c r="O67" s="68"/>
      <c r="P67" s="69" t="str">
        <f>IF('Filtered Information'!$B$1&gt;=A66,"NO","YES")</f>
        <v>YES</v>
      </c>
    </row>
    <row r="68" spans="1:28" hidden="1">
      <c r="A68" s="64" t="str">
        <f>IFERROR(VLOOKUP(A66,'Filtered Information'!$A$3:$E$66,3,FALSE),"-")</f>
        <v>-</v>
      </c>
      <c r="B68" s="27" t="s">
        <v>57</v>
      </c>
      <c r="C68" s="11"/>
      <c r="D68" s="11"/>
      <c r="E68" s="11"/>
      <c r="F68" s="11"/>
      <c r="G68" s="11"/>
      <c r="H68" s="11"/>
      <c r="I68" s="11"/>
      <c r="J68" s="12">
        <f t="shared" si="6"/>
        <v>0</v>
      </c>
      <c r="K68" s="65">
        <f>IF(J68&gt;0,K66*2,)</f>
        <v>0</v>
      </c>
      <c r="L68" s="13">
        <f t="shared" si="7"/>
        <v>0</v>
      </c>
      <c r="M68" s="70" t="str">
        <f>IF(K66&gt;0,"TOTAL WAGE:",0)</f>
        <v>TOTAL WAGE:</v>
      </c>
      <c r="N68" s="71">
        <f>N66+N67</f>
        <v>0</v>
      </c>
      <c r="O68" s="48">
        <f>N68</f>
        <v>0</v>
      </c>
      <c r="P68" s="69" t="str">
        <f>IF('Filtered Information'!$B$1&gt;=A66,"NO","YES")</f>
        <v>YES</v>
      </c>
    </row>
    <row r="69" spans="1:28" hidden="1">
      <c r="A69" s="82" t="str">
        <f>IFERROR(VLOOKUP(A66,'Filtered Information'!$A$3:$E$64,5,FALSE),"-")</f>
        <v>-</v>
      </c>
      <c r="B69" s="27" t="s">
        <v>58</v>
      </c>
      <c r="C69" s="11"/>
      <c r="D69" s="11"/>
      <c r="E69" s="11"/>
      <c r="F69" s="11"/>
      <c r="G69" s="11"/>
      <c r="H69" s="11"/>
      <c r="I69" s="11"/>
      <c r="J69" s="12">
        <f t="shared" si="6"/>
        <v>0</v>
      </c>
      <c r="K69" s="65"/>
      <c r="L69" s="13">
        <f t="shared" si="7"/>
        <v>0</v>
      </c>
      <c r="M69" s="72"/>
      <c r="N69" s="73"/>
      <c r="P69" s="69" t="str">
        <f>IF('Filtered Information'!$B$1&gt;=A66,"NO","YES")</f>
        <v>YES</v>
      </c>
      <c r="R69" s="74"/>
      <c r="S69" s="75"/>
      <c r="T69" s="75"/>
      <c r="U69" s="75"/>
      <c r="V69" s="75"/>
    </row>
    <row r="70" spans="1:28" s="74" customFormat="1" ht="13.5" hidden="1" thickBot="1">
      <c r="A70" s="83"/>
      <c r="B70" s="46" t="s">
        <v>60</v>
      </c>
      <c r="C70" s="14"/>
      <c r="D70" s="14"/>
      <c r="E70" s="14"/>
      <c r="F70" s="14"/>
      <c r="G70" s="14"/>
      <c r="H70" s="14"/>
      <c r="I70" s="14"/>
      <c r="J70" s="15">
        <f t="shared" si="6"/>
        <v>0</v>
      </c>
      <c r="K70" s="77">
        <f>IF(J70&gt;0,K66,)</f>
        <v>0</v>
      </c>
      <c r="L70" s="16">
        <f t="shared" si="7"/>
        <v>0</v>
      </c>
      <c r="M70" s="78" t="str">
        <f>IF(K66&gt;0,"UNION 3.5%:",0)</f>
        <v>UNION 3.5%:</v>
      </c>
      <c r="N70" s="79">
        <f>N68*0.035</f>
        <v>0</v>
      </c>
      <c r="O70" s="75"/>
      <c r="P70" s="80" t="str">
        <f>IF('Filtered Information'!$B$1&gt;=A66,"NO","YES")</f>
        <v>YES</v>
      </c>
      <c r="R70" s="38"/>
      <c r="S70" s="48"/>
      <c r="T70" s="48"/>
      <c r="U70" s="48"/>
      <c r="V70" s="48"/>
      <c r="AA70" s="81"/>
      <c r="AB70" s="81"/>
    </row>
    <row r="71" spans="1:28" s="53" customFormat="1" ht="13.5" hidden="1" thickTop="1">
      <c r="A71" s="55">
        <f>A66+1</f>
        <v>13</v>
      </c>
      <c r="B71" s="56" t="s">
        <v>54</v>
      </c>
      <c r="C71" s="8"/>
      <c r="D71" s="8"/>
      <c r="E71" s="8"/>
      <c r="F71" s="8"/>
      <c r="G71" s="8"/>
      <c r="H71" s="8"/>
      <c r="I71" s="8"/>
      <c r="J71" s="9">
        <f t="shared" si="6"/>
        <v>0</v>
      </c>
      <c r="K71" s="57" t="str">
        <f>IFERROR(VLOOKUP(A71,'Filtered Information'!$A$3:$D$64,2,FALSE),"0")</f>
        <v>0</v>
      </c>
      <c r="L71" s="10">
        <f t="shared" si="7"/>
        <v>0</v>
      </c>
      <c r="M71" s="58" t="str">
        <f>IF(K71&gt;0,"SUBTOTAL:",0)</f>
        <v>SUBTOTAL:</v>
      </c>
      <c r="N71" s="59">
        <f>SUM(L71:L75)</f>
        <v>0</v>
      </c>
      <c r="O71" s="60"/>
      <c r="P71" s="61" t="str">
        <f>IF('Filtered Information'!$B$1&gt;=A71,"NO","YES")</f>
        <v>YES</v>
      </c>
      <c r="Q71" s="62"/>
      <c r="R71" s="38"/>
      <c r="S71" s="48"/>
      <c r="T71" s="48"/>
      <c r="U71" s="48"/>
      <c r="V71" s="48"/>
      <c r="AA71" s="63"/>
      <c r="AB71" s="63"/>
    </row>
    <row r="72" spans="1:28" hidden="1">
      <c r="A72" s="64" t="str">
        <f>IFERROR(VLOOKUP(A71,'Filtered Information'!$A$3:$E$66,4,FALSE),"-")</f>
        <v>-</v>
      </c>
      <c r="B72" s="27" t="s">
        <v>55</v>
      </c>
      <c r="C72" s="11"/>
      <c r="D72" s="11"/>
      <c r="E72" s="11"/>
      <c r="F72" s="11"/>
      <c r="G72" s="11"/>
      <c r="H72" s="11"/>
      <c r="I72" s="11"/>
      <c r="J72" s="12">
        <f t="shared" si="6"/>
        <v>0</v>
      </c>
      <c r="K72" s="65">
        <f>IF(J72&gt;0,K71*1.5,)</f>
        <v>0</v>
      </c>
      <c r="L72" s="13">
        <f t="shared" si="7"/>
        <v>0</v>
      </c>
      <c r="M72" s="66" t="s">
        <v>56</v>
      </c>
      <c r="N72" s="67">
        <f>N71*0.08</f>
        <v>0</v>
      </c>
      <c r="O72" s="68"/>
      <c r="P72" s="69" t="str">
        <f>IF('Filtered Information'!$B$1&gt;=A71,"NO","YES")</f>
        <v>YES</v>
      </c>
    </row>
    <row r="73" spans="1:28" hidden="1">
      <c r="A73" s="64" t="str">
        <f>IFERROR(VLOOKUP(A71,'Filtered Information'!$A$3:$E$66,3,FALSE),"-")</f>
        <v>-</v>
      </c>
      <c r="B73" s="27" t="s">
        <v>57</v>
      </c>
      <c r="C73" s="11"/>
      <c r="D73" s="11"/>
      <c r="E73" s="11"/>
      <c r="F73" s="11"/>
      <c r="G73" s="11"/>
      <c r="H73" s="11"/>
      <c r="I73" s="11"/>
      <c r="J73" s="12">
        <f t="shared" si="6"/>
        <v>0</v>
      </c>
      <c r="K73" s="65">
        <f>IF(J73&gt;0,K71*2,)</f>
        <v>0</v>
      </c>
      <c r="L73" s="13">
        <f t="shared" si="7"/>
        <v>0</v>
      </c>
      <c r="M73" s="70" t="str">
        <f>IF(K71&gt;0,"TOTAL WAGE:",0)</f>
        <v>TOTAL WAGE:</v>
      </c>
      <c r="N73" s="71">
        <f>N71+N72</f>
        <v>0</v>
      </c>
      <c r="O73" s="48">
        <f>N73</f>
        <v>0</v>
      </c>
      <c r="P73" s="69" t="str">
        <f>IF('Filtered Information'!$B$1&gt;=A71,"NO","YES")</f>
        <v>YES</v>
      </c>
    </row>
    <row r="74" spans="1:28" hidden="1">
      <c r="A74" s="82" t="str">
        <f>IFERROR(VLOOKUP(A71,'Filtered Information'!$A$3:$E$64,5,FALSE),"-")</f>
        <v>-</v>
      </c>
      <c r="B74" s="27" t="s">
        <v>58</v>
      </c>
      <c r="C74" s="11"/>
      <c r="D74" s="11"/>
      <c r="E74" s="11"/>
      <c r="F74" s="11"/>
      <c r="G74" s="11"/>
      <c r="H74" s="11"/>
      <c r="I74" s="11"/>
      <c r="J74" s="12">
        <f t="shared" si="6"/>
        <v>0</v>
      </c>
      <c r="K74" s="65"/>
      <c r="L74" s="13">
        <f t="shared" si="7"/>
        <v>0</v>
      </c>
      <c r="M74" s="72"/>
      <c r="N74" s="73"/>
      <c r="P74" s="69" t="str">
        <f>IF('Filtered Information'!$B$1&gt;=A71,"NO","YES")</f>
        <v>YES</v>
      </c>
      <c r="R74" s="74"/>
      <c r="S74" s="75"/>
      <c r="T74" s="75"/>
      <c r="U74" s="75"/>
      <c r="V74" s="75"/>
    </row>
    <row r="75" spans="1:28" s="74" customFormat="1" ht="13.5" hidden="1" thickBot="1">
      <c r="A75" s="83"/>
      <c r="B75" s="46" t="s">
        <v>60</v>
      </c>
      <c r="C75" s="14"/>
      <c r="D75" s="14"/>
      <c r="E75" s="14"/>
      <c r="F75" s="14"/>
      <c r="G75" s="14"/>
      <c r="H75" s="14"/>
      <c r="I75" s="14"/>
      <c r="J75" s="15">
        <f t="shared" si="6"/>
        <v>0</v>
      </c>
      <c r="K75" s="77">
        <f>IF(J75&gt;0,K71,)</f>
        <v>0</v>
      </c>
      <c r="L75" s="16">
        <f t="shared" si="7"/>
        <v>0</v>
      </c>
      <c r="M75" s="78" t="str">
        <f>IF(K71&gt;0,"UNION 3.5%:",0)</f>
        <v>UNION 3.5%:</v>
      </c>
      <c r="N75" s="79">
        <f>N73*0.035</f>
        <v>0</v>
      </c>
      <c r="O75" s="75"/>
      <c r="P75" s="80" t="str">
        <f>IF('Filtered Information'!$B$1&gt;=A71,"NO","YES")</f>
        <v>YES</v>
      </c>
      <c r="R75" s="38"/>
      <c r="S75" s="48"/>
      <c r="T75" s="48"/>
      <c r="U75" s="48"/>
      <c r="V75" s="48"/>
      <c r="AA75" s="81"/>
      <c r="AB75" s="81"/>
    </row>
    <row r="76" spans="1:28" s="53" customFormat="1" ht="13.5" hidden="1" thickTop="1">
      <c r="A76" s="55">
        <f>A71+1</f>
        <v>14</v>
      </c>
      <c r="B76" s="56" t="s">
        <v>54</v>
      </c>
      <c r="C76" s="8"/>
      <c r="D76" s="8"/>
      <c r="E76" s="8"/>
      <c r="F76" s="8"/>
      <c r="G76" s="8"/>
      <c r="H76" s="8"/>
      <c r="I76" s="8"/>
      <c r="J76" s="9">
        <f t="shared" si="6"/>
        <v>0</v>
      </c>
      <c r="K76" s="57" t="str">
        <f>IFERROR(VLOOKUP(A76,'Filtered Information'!$A$3:$D$64,2,FALSE),"0")</f>
        <v>0</v>
      </c>
      <c r="L76" s="10">
        <f t="shared" si="7"/>
        <v>0</v>
      </c>
      <c r="M76" s="58" t="str">
        <f>IF(K76&gt;0,"SUBTOTAL:",0)</f>
        <v>SUBTOTAL:</v>
      </c>
      <c r="N76" s="59">
        <f>SUM(L76:L80)</f>
        <v>0</v>
      </c>
      <c r="O76" s="60"/>
      <c r="P76" s="61" t="str">
        <f>IF('Filtered Information'!$B$1&gt;=A76,"NO","YES")</f>
        <v>YES</v>
      </c>
      <c r="Q76" s="62"/>
      <c r="R76" s="38"/>
      <c r="S76" s="48"/>
      <c r="T76" s="48"/>
      <c r="U76" s="48"/>
      <c r="V76" s="48"/>
      <c r="AA76" s="63"/>
      <c r="AB76" s="63"/>
    </row>
    <row r="77" spans="1:28" hidden="1">
      <c r="A77" s="64" t="str">
        <f>IFERROR(VLOOKUP(A76,'Filtered Information'!$A$3:$E$66,4,FALSE),"-")</f>
        <v>-</v>
      </c>
      <c r="B77" s="27" t="s">
        <v>55</v>
      </c>
      <c r="C77" s="11"/>
      <c r="D77" s="11"/>
      <c r="E77" s="11"/>
      <c r="F77" s="11"/>
      <c r="G77" s="11"/>
      <c r="H77" s="11"/>
      <c r="I77" s="11"/>
      <c r="J77" s="12">
        <f t="shared" si="6"/>
        <v>0</v>
      </c>
      <c r="K77" s="65">
        <f>IF(J77&gt;0,K76*1.5,)</f>
        <v>0</v>
      </c>
      <c r="L77" s="13">
        <f t="shared" si="7"/>
        <v>0</v>
      </c>
      <c r="M77" s="66" t="s">
        <v>56</v>
      </c>
      <c r="N77" s="67">
        <f>N76*0.08</f>
        <v>0</v>
      </c>
      <c r="O77" s="68"/>
      <c r="P77" s="69" t="str">
        <f>IF('Filtered Information'!$B$1&gt;=A76,"NO","YES")</f>
        <v>YES</v>
      </c>
    </row>
    <row r="78" spans="1:28" hidden="1">
      <c r="A78" s="64" t="str">
        <f>IFERROR(VLOOKUP(A76,'Filtered Information'!$A$3:$E$66,3,FALSE),"-")</f>
        <v>-</v>
      </c>
      <c r="B78" s="27" t="s">
        <v>57</v>
      </c>
      <c r="C78" s="11"/>
      <c r="D78" s="11"/>
      <c r="E78" s="11"/>
      <c r="F78" s="11"/>
      <c r="G78" s="11"/>
      <c r="H78" s="11"/>
      <c r="I78" s="11"/>
      <c r="J78" s="12">
        <f t="shared" si="6"/>
        <v>0</v>
      </c>
      <c r="K78" s="65">
        <f>IF(J78&gt;0,K76*2,)</f>
        <v>0</v>
      </c>
      <c r="L78" s="13">
        <f t="shared" si="7"/>
        <v>0</v>
      </c>
      <c r="M78" s="70" t="str">
        <f>IF(K76&gt;0,"TOTAL WAGE:",0)</f>
        <v>TOTAL WAGE:</v>
      </c>
      <c r="N78" s="71">
        <f>N76+N77</f>
        <v>0</v>
      </c>
      <c r="O78" s="48">
        <f>N78</f>
        <v>0</v>
      </c>
      <c r="P78" s="69" t="str">
        <f>IF('Filtered Information'!$B$1&gt;=A76,"NO","YES")</f>
        <v>YES</v>
      </c>
    </row>
    <row r="79" spans="1:28" hidden="1">
      <c r="A79" s="82" t="str">
        <f>IFERROR(VLOOKUP(A76,'Filtered Information'!$A$3:$E$64,5,FALSE),"-")</f>
        <v>-</v>
      </c>
      <c r="B79" s="27" t="s">
        <v>58</v>
      </c>
      <c r="C79" s="11"/>
      <c r="D79" s="11"/>
      <c r="E79" s="11"/>
      <c r="F79" s="11"/>
      <c r="G79" s="11"/>
      <c r="H79" s="11"/>
      <c r="I79" s="11"/>
      <c r="J79" s="12">
        <f t="shared" si="6"/>
        <v>0</v>
      </c>
      <c r="K79" s="65"/>
      <c r="L79" s="13">
        <f t="shared" si="7"/>
        <v>0</v>
      </c>
      <c r="M79" s="72"/>
      <c r="N79" s="73"/>
      <c r="P79" s="69" t="str">
        <f>IF('Filtered Information'!$B$1&gt;=A76,"NO","YES")</f>
        <v>YES</v>
      </c>
      <c r="R79" s="74"/>
      <c r="S79" s="75"/>
      <c r="T79" s="75"/>
      <c r="U79" s="75"/>
      <c r="V79" s="75"/>
    </row>
    <row r="80" spans="1:28" s="74" customFormat="1" ht="13.5" hidden="1" thickBot="1">
      <c r="A80" s="83"/>
      <c r="B80" s="46" t="s">
        <v>60</v>
      </c>
      <c r="C80" s="14"/>
      <c r="D80" s="14"/>
      <c r="E80" s="14"/>
      <c r="F80" s="14"/>
      <c r="G80" s="14"/>
      <c r="H80" s="14"/>
      <c r="I80" s="14"/>
      <c r="J80" s="15">
        <f t="shared" si="6"/>
        <v>0</v>
      </c>
      <c r="K80" s="77">
        <f>IF(J80&gt;0,K76,)</f>
        <v>0</v>
      </c>
      <c r="L80" s="16">
        <f t="shared" si="7"/>
        <v>0</v>
      </c>
      <c r="M80" s="78" t="str">
        <f>IF(K76&gt;0,"UNION 3.5%:",0)</f>
        <v>UNION 3.5%:</v>
      </c>
      <c r="N80" s="79">
        <f>N78*0.035</f>
        <v>0</v>
      </c>
      <c r="O80" s="75"/>
      <c r="P80" s="80" t="str">
        <f>IF('Filtered Information'!$B$1&gt;=A76,"NO","YES")</f>
        <v>YES</v>
      </c>
      <c r="R80" s="38"/>
      <c r="S80" s="48"/>
      <c r="T80" s="48"/>
      <c r="U80" s="48"/>
      <c r="V80" s="48"/>
      <c r="AA80" s="81"/>
      <c r="AB80" s="81"/>
    </row>
    <row r="81" spans="1:28" s="53" customFormat="1" ht="13.5" hidden="1" thickTop="1">
      <c r="A81" s="55">
        <f>A76+1</f>
        <v>15</v>
      </c>
      <c r="B81" s="56" t="s">
        <v>54</v>
      </c>
      <c r="C81" s="8"/>
      <c r="D81" s="8"/>
      <c r="E81" s="8"/>
      <c r="F81" s="8"/>
      <c r="G81" s="8"/>
      <c r="H81" s="8"/>
      <c r="I81" s="8"/>
      <c r="J81" s="9">
        <f t="shared" si="6"/>
        <v>0</v>
      </c>
      <c r="K81" s="57" t="str">
        <f>IFERROR(VLOOKUP(A81,'Filtered Information'!$A$3:$D$64,2,FALSE),"0")</f>
        <v>0</v>
      </c>
      <c r="L81" s="10">
        <f t="shared" si="7"/>
        <v>0</v>
      </c>
      <c r="M81" s="58" t="str">
        <f>IF(K81&gt;0,"SUBTOTAL:",0)</f>
        <v>SUBTOTAL:</v>
      </c>
      <c r="N81" s="59">
        <f>SUM(L81:L85)</f>
        <v>0</v>
      </c>
      <c r="O81" s="60"/>
      <c r="P81" s="61" t="str">
        <f>IF('Filtered Information'!$B$1&gt;=A81,"NO","YES")</f>
        <v>YES</v>
      </c>
      <c r="Q81" s="62"/>
      <c r="R81" s="38"/>
      <c r="S81" s="48"/>
      <c r="T81" s="48"/>
      <c r="U81" s="48"/>
      <c r="V81" s="48"/>
      <c r="AA81" s="63"/>
      <c r="AB81" s="63"/>
    </row>
    <row r="82" spans="1:28" hidden="1">
      <c r="A82" s="64" t="str">
        <f>IFERROR(VLOOKUP(A81,'Filtered Information'!$A$3:$E$66,4,FALSE),"-")</f>
        <v>-</v>
      </c>
      <c r="B82" s="27" t="s">
        <v>55</v>
      </c>
      <c r="C82" s="11"/>
      <c r="D82" s="11"/>
      <c r="E82" s="11"/>
      <c r="F82" s="11"/>
      <c r="G82" s="11"/>
      <c r="H82" s="11"/>
      <c r="I82" s="11"/>
      <c r="J82" s="12">
        <f t="shared" si="6"/>
        <v>0</v>
      </c>
      <c r="K82" s="65">
        <f>IF(J82&gt;0,K81*1.5,)</f>
        <v>0</v>
      </c>
      <c r="L82" s="13">
        <f t="shared" si="7"/>
        <v>0</v>
      </c>
      <c r="M82" s="66" t="s">
        <v>56</v>
      </c>
      <c r="N82" s="67">
        <f>N81*0.08</f>
        <v>0</v>
      </c>
      <c r="O82" s="68"/>
      <c r="P82" s="69" t="str">
        <f>IF('Filtered Information'!$B$1&gt;=A81,"NO","YES")</f>
        <v>YES</v>
      </c>
    </row>
    <row r="83" spans="1:28" hidden="1">
      <c r="A83" s="64" t="str">
        <f>IFERROR(VLOOKUP(A81,'Filtered Information'!$A$3:$E$66,3,FALSE),"-")</f>
        <v>-</v>
      </c>
      <c r="B83" s="27" t="s">
        <v>57</v>
      </c>
      <c r="C83" s="11"/>
      <c r="D83" s="11"/>
      <c r="E83" s="11"/>
      <c r="F83" s="11"/>
      <c r="G83" s="11"/>
      <c r="H83" s="11"/>
      <c r="I83" s="11"/>
      <c r="J83" s="12">
        <f t="shared" si="6"/>
        <v>0</v>
      </c>
      <c r="K83" s="65">
        <f>IF(J83&gt;0,K81*2,)</f>
        <v>0</v>
      </c>
      <c r="L83" s="13">
        <f t="shared" si="7"/>
        <v>0</v>
      </c>
      <c r="M83" s="70" t="str">
        <f>IF(K81&gt;0,"TOTAL WAGE:",0)</f>
        <v>TOTAL WAGE:</v>
      </c>
      <c r="N83" s="71">
        <f>N81+N82</f>
        <v>0</v>
      </c>
      <c r="O83" s="48">
        <f>N83</f>
        <v>0</v>
      </c>
      <c r="P83" s="69" t="str">
        <f>IF('Filtered Information'!$B$1&gt;=A81,"NO","YES")</f>
        <v>YES</v>
      </c>
    </row>
    <row r="84" spans="1:28" hidden="1">
      <c r="A84" s="82" t="str">
        <f>IFERROR(VLOOKUP(A81,'Filtered Information'!$A$3:$E$64,5,FALSE),"-")</f>
        <v>-</v>
      </c>
      <c r="B84" s="27" t="s">
        <v>58</v>
      </c>
      <c r="C84" s="11"/>
      <c r="D84" s="11"/>
      <c r="E84" s="11"/>
      <c r="F84" s="11"/>
      <c r="G84" s="11"/>
      <c r="H84" s="11"/>
      <c r="I84" s="11"/>
      <c r="J84" s="12">
        <f t="shared" si="6"/>
        <v>0</v>
      </c>
      <c r="K84" s="65"/>
      <c r="L84" s="13">
        <f t="shared" si="7"/>
        <v>0</v>
      </c>
      <c r="M84" s="72"/>
      <c r="N84" s="73"/>
      <c r="P84" s="69" t="str">
        <f>IF('Filtered Information'!$B$1&gt;=A81,"NO","YES")</f>
        <v>YES</v>
      </c>
      <c r="R84" s="74"/>
      <c r="S84" s="75"/>
      <c r="T84" s="75"/>
      <c r="U84" s="75"/>
      <c r="V84" s="75"/>
    </row>
    <row r="85" spans="1:28" s="74" customFormat="1" ht="13.5" hidden="1" thickBot="1">
      <c r="A85" s="83"/>
      <c r="B85" s="46" t="s">
        <v>60</v>
      </c>
      <c r="C85" s="14"/>
      <c r="D85" s="14"/>
      <c r="E85" s="14"/>
      <c r="F85" s="14"/>
      <c r="G85" s="14"/>
      <c r="H85" s="14"/>
      <c r="I85" s="14"/>
      <c r="J85" s="15">
        <f t="shared" si="6"/>
        <v>0</v>
      </c>
      <c r="K85" s="77">
        <f>IF(J85&gt;0,K81,)</f>
        <v>0</v>
      </c>
      <c r="L85" s="16">
        <f t="shared" si="7"/>
        <v>0</v>
      </c>
      <c r="M85" s="78" t="str">
        <f>IF(K81&gt;0,"UNION 3.5%:",0)</f>
        <v>UNION 3.5%:</v>
      </c>
      <c r="N85" s="79">
        <f>N83*0.035</f>
        <v>0</v>
      </c>
      <c r="O85" s="75"/>
      <c r="P85" s="80" t="str">
        <f>IF('Filtered Information'!$B$1&gt;=A81,"NO","YES")</f>
        <v>YES</v>
      </c>
      <c r="R85" s="38"/>
      <c r="S85" s="48"/>
      <c r="T85" s="48"/>
      <c r="U85" s="48"/>
      <c r="V85" s="48"/>
      <c r="AA85" s="81"/>
      <c r="AB85" s="81"/>
    </row>
    <row r="86" spans="1:28" s="53" customFormat="1" ht="13.5" hidden="1" thickTop="1">
      <c r="A86" s="55">
        <f>A81+1</f>
        <v>16</v>
      </c>
      <c r="B86" s="56" t="s">
        <v>54</v>
      </c>
      <c r="C86" s="8"/>
      <c r="D86" s="8"/>
      <c r="E86" s="8"/>
      <c r="F86" s="8"/>
      <c r="G86" s="8"/>
      <c r="H86" s="8"/>
      <c r="I86" s="8"/>
      <c r="J86" s="9">
        <f t="shared" si="6"/>
        <v>0</v>
      </c>
      <c r="K86" s="57" t="str">
        <f>IFERROR(VLOOKUP(A86,'Filtered Information'!$A$3:$D$64,2,FALSE),"0")</f>
        <v>0</v>
      </c>
      <c r="L86" s="10">
        <f t="shared" si="7"/>
        <v>0</v>
      </c>
      <c r="M86" s="58" t="str">
        <f>IF(K86&gt;0,"SUBTOTAL:",0)</f>
        <v>SUBTOTAL:</v>
      </c>
      <c r="N86" s="59">
        <f>SUM(L86:L90)</f>
        <v>0</v>
      </c>
      <c r="O86" s="60"/>
      <c r="P86" s="61" t="str">
        <f>IF('Filtered Information'!$B$1&gt;=A86,"NO","YES")</f>
        <v>YES</v>
      </c>
      <c r="Q86" s="62"/>
      <c r="R86" s="38"/>
      <c r="S86" s="48"/>
      <c r="T86" s="48"/>
      <c r="U86" s="48"/>
      <c r="V86" s="48"/>
      <c r="AA86" s="63"/>
      <c r="AB86" s="63"/>
    </row>
    <row r="87" spans="1:28" hidden="1">
      <c r="A87" s="64" t="str">
        <f>IFERROR(VLOOKUP(A86,'Filtered Information'!$A$3:$E$66,4,FALSE),"-")</f>
        <v>-</v>
      </c>
      <c r="B87" s="27" t="s">
        <v>55</v>
      </c>
      <c r="C87" s="11"/>
      <c r="D87" s="11"/>
      <c r="E87" s="11"/>
      <c r="F87" s="11"/>
      <c r="G87" s="11"/>
      <c r="H87" s="11"/>
      <c r="I87" s="11"/>
      <c r="J87" s="12">
        <f t="shared" si="6"/>
        <v>0</v>
      </c>
      <c r="K87" s="65">
        <f>IF(J87&gt;0,K86*1.5,)</f>
        <v>0</v>
      </c>
      <c r="L87" s="13">
        <f t="shared" si="7"/>
        <v>0</v>
      </c>
      <c r="M87" s="66" t="s">
        <v>56</v>
      </c>
      <c r="N87" s="67">
        <f>N86*0.08</f>
        <v>0</v>
      </c>
      <c r="O87" s="68"/>
      <c r="P87" s="69" t="str">
        <f>IF('Filtered Information'!$B$1&gt;=A86,"NO","YES")</f>
        <v>YES</v>
      </c>
    </row>
    <row r="88" spans="1:28" hidden="1">
      <c r="A88" s="64" t="str">
        <f>IFERROR(VLOOKUP(A86,'Filtered Information'!$A$3:$E$66,3,FALSE),"-")</f>
        <v>-</v>
      </c>
      <c r="B88" s="27" t="s">
        <v>57</v>
      </c>
      <c r="C88" s="11"/>
      <c r="D88" s="11"/>
      <c r="E88" s="11"/>
      <c r="F88" s="11"/>
      <c r="G88" s="11"/>
      <c r="H88" s="11"/>
      <c r="I88" s="11"/>
      <c r="J88" s="12">
        <f t="shared" si="6"/>
        <v>0</v>
      </c>
      <c r="K88" s="65">
        <f>IF(J88&gt;0,K86*2,)</f>
        <v>0</v>
      </c>
      <c r="L88" s="13">
        <f t="shared" si="7"/>
        <v>0</v>
      </c>
      <c r="M88" s="70" t="str">
        <f>IF(K86&gt;0,"TOTAL WAGE:",0)</f>
        <v>TOTAL WAGE:</v>
      </c>
      <c r="N88" s="71">
        <f>N86+N87</f>
        <v>0</v>
      </c>
      <c r="O88" s="48">
        <f>N88</f>
        <v>0</v>
      </c>
      <c r="P88" s="69" t="str">
        <f>IF('Filtered Information'!$B$1&gt;=A86,"NO","YES")</f>
        <v>YES</v>
      </c>
    </row>
    <row r="89" spans="1:28" hidden="1">
      <c r="A89" s="82" t="str">
        <f>IFERROR(VLOOKUP(A86,'Filtered Information'!$A$3:$E$64,5,FALSE),"-")</f>
        <v>-</v>
      </c>
      <c r="B89" s="27" t="s">
        <v>58</v>
      </c>
      <c r="C89" s="11"/>
      <c r="D89" s="11"/>
      <c r="E89" s="11"/>
      <c r="F89" s="11"/>
      <c r="G89" s="11"/>
      <c r="H89" s="11"/>
      <c r="I89" s="11"/>
      <c r="J89" s="12">
        <f t="shared" si="6"/>
        <v>0</v>
      </c>
      <c r="K89" s="65"/>
      <c r="L89" s="13">
        <f t="shared" si="7"/>
        <v>0</v>
      </c>
      <c r="M89" s="72"/>
      <c r="N89" s="73"/>
      <c r="P89" s="69" t="str">
        <f>IF('Filtered Information'!$B$1&gt;=A86,"NO","YES")</f>
        <v>YES</v>
      </c>
      <c r="R89" s="74"/>
      <c r="S89" s="75"/>
      <c r="T89" s="75"/>
      <c r="U89" s="75"/>
      <c r="V89" s="75"/>
    </row>
    <row r="90" spans="1:28" s="74" customFormat="1" ht="13.5" hidden="1" thickBot="1">
      <c r="A90" s="83"/>
      <c r="B90" s="46" t="s">
        <v>60</v>
      </c>
      <c r="C90" s="14"/>
      <c r="D90" s="14"/>
      <c r="E90" s="14"/>
      <c r="F90" s="14"/>
      <c r="G90" s="14"/>
      <c r="H90" s="14"/>
      <c r="I90" s="14"/>
      <c r="J90" s="15">
        <f t="shared" si="6"/>
        <v>0</v>
      </c>
      <c r="K90" s="77">
        <f>IF(J90&gt;0,K86,)</f>
        <v>0</v>
      </c>
      <c r="L90" s="16">
        <f t="shared" si="7"/>
        <v>0</v>
      </c>
      <c r="M90" s="78" t="str">
        <f>IF(K86&gt;0,"UNION 3.5%:",0)</f>
        <v>UNION 3.5%:</v>
      </c>
      <c r="N90" s="79">
        <f>N88*0.035</f>
        <v>0</v>
      </c>
      <c r="O90" s="75"/>
      <c r="P90" s="80" t="str">
        <f>IF('Filtered Information'!$B$1&gt;=A86,"NO","YES")</f>
        <v>YES</v>
      </c>
      <c r="R90" s="38"/>
      <c r="S90" s="48"/>
      <c r="T90" s="48"/>
      <c r="U90" s="48"/>
      <c r="V90" s="48"/>
      <c r="AA90" s="81"/>
      <c r="AB90" s="81"/>
    </row>
    <row r="91" spans="1:28" s="53" customFormat="1" ht="13.5" hidden="1" thickTop="1">
      <c r="A91" s="55">
        <f>A86+1</f>
        <v>17</v>
      </c>
      <c r="B91" s="56" t="s">
        <v>54</v>
      </c>
      <c r="C91" s="8"/>
      <c r="D91" s="8"/>
      <c r="E91" s="8"/>
      <c r="F91" s="8"/>
      <c r="G91" s="8"/>
      <c r="H91" s="8"/>
      <c r="I91" s="8"/>
      <c r="J91" s="9">
        <f t="shared" si="6"/>
        <v>0</v>
      </c>
      <c r="K91" s="57" t="str">
        <f>IFERROR(VLOOKUP(A91,'Filtered Information'!$A$3:$D$64,2,FALSE),"0")</f>
        <v>0</v>
      </c>
      <c r="L91" s="10">
        <f t="shared" si="7"/>
        <v>0</v>
      </c>
      <c r="M91" s="58" t="str">
        <f>IF(K91&gt;0,"SUBTOTAL:",0)</f>
        <v>SUBTOTAL:</v>
      </c>
      <c r="N91" s="59">
        <f>SUM(L91:L95)</f>
        <v>0</v>
      </c>
      <c r="O91" s="60"/>
      <c r="P91" s="61" t="str">
        <f>IF('Filtered Information'!$B$1&gt;=A91,"NO","YES")</f>
        <v>YES</v>
      </c>
      <c r="Q91" s="62"/>
      <c r="R91" s="38"/>
      <c r="S91" s="48"/>
      <c r="T91" s="48"/>
      <c r="U91" s="48"/>
      <c r="V91" s="48"/>
      <c r="AA91" s="63"/>
      <c r="AB91" s="63"/>
    </row>
    <row r="92" spans="1:28" hidden="1">
      <c r="A92" s="64" t="str">
        <f>IFERROR(VLOOKUP(A91,'Filtered Information'!$A$3:$E$66,4,FALSE),"-")</f>
        <v>-</v>
      </c>
      <c r="B92" s="27" t="s">
        <v>55</v>
      </c>
      <c r="C92" s="11"/>
      <c r="D92" s="11"/>
      <c r="E92" s="11"/>
      <c r="F92" s="11"/>
      <c r="G92" s="11"/>
      <c r="H92" s="11"/>
      <c r="I92" s="11"/>
      <c r="J92" s="12">
        <f t="shared" si="6"/>
        <v>0</v>
      </c>
      <c r="K92" s="65">
        <f>IF(J92&gt;0,K91*1.5,)</f>
        <v>0</v>
      </c>
      <c r="L92" s="13">
        <f t="shared" si="7"/>
        <v>0</v>
      </c>
      <c r="M92" s="66" t="s">
        <v>56</v>
      </c>
      <c r="N92" s="67">
        <f>N91*0.08</f>
        <v>0</v>
      </c>
      <c r="O92" s="68"/>
      <c r="P92" s="69" t="str">
        <f>IF('Filtered Information'!$B$1&gt;=A91,"NO","YES")</f>
        <v>YES</v>
      </c>
    </row>
    <row r="93" spans="1:28" hidden="1">
      <c r="A93" s="64" t="str">
        <f>IFERROR(VLOOKUP(A91,'Filtered Information'!$A$3:$E$66,3,FALSE),"-")</f>
        <v>-</v>
      </c>
      <c r="B93" s="27" t="s">
        <v>57</v>
      </c>
      <c r="C93" s="11"/>
      <c r="D93" s="11"/>
      <c r="E93" s="11"/>
      <c r="F93" s="11"/>
      <c r="G93" s="11"/>
      <c r="H93" s="11"/>
      <c r="I93" s="11"/>
      <c r="J93" s="12">
        <f t="shared" si="6"/>
        <v>0</v>
      </c>
      <c r="K93" s="65">
        <f>IF(J93&gt;0,K91*2,)</f>
        <v>0</v>
      </c>
      <c r="L93" s="13">
        <f t="shared" si="7"/>
        <v>0</v>
      </c>
      <c r="M93" s="70" t="str">
        <f>IF(K91&gt;0,"TOTAL WAGE:",0)</f>
        <v>TOTAL WAGE:</v>
      </c>
      <c r="N93" s="71">
        <f>N91+N92</f>
        <v>0</v>
      </c>
      <c r="O93" s="48">
        <f>N93</f>
        <v>0</v>
      </c>
      <c r="P93" s="69" t="str">
        <f>IF('Filtered Information'!$B$1&gt;=A91,"NO","YES")</f>
        <v>YES</v>
      </c>
    </row>
    <row r="94" spans="1:28" hidden="1">
      <c r="A94" s="82" t="str">
        <f>IFERROR(VLOOKUP(A91,'Filtered Information'!$A$3:$E$64,5,FALSE),"-")</f>
        <v>-</v>
      </c>
      <c r="B94" s="27" t="s">
        <v>58</v>
      </c>
      <c r="C94" s="11"/>
      <c r="D94" s="11"/>
      <c r="E94" s="11"/>
      <c r="F94" s="11"/>
      <c r="G94" s="11"/>
      <c r="H94" s="11"/>
      <c r="I94" s="11"/>
      <c r="J94" s="12">
        <f t="shared" si="6"/>
        <v>0</v>
      </c>
      <c r="K94" s="65"/>
      <c r="L94" s="13">
        <f t="shared" si="7"/>
        <v>0</v>
      </c>
      <c r="M94" s="72"/>
      <c r="N94" s="73"/>
      <c r="P94" s="69" t="str">
        <f>IF('Filtered Information'!$B$1&gt;=A91,"NO","YES")</f>
        <v>YES</v>
      </c>
      <c r="R94" s="74"/>
      <c r="S94" s="75"/>
      <c r="T94" s="75"/>
      <c r="U94" s="75"/>
      <c r="V94" s="75"/>
    </row>
    <row r="95" spans="1:28" s="74" customFormat="1" ht="13.5" hidden="1" thickBot="1">
      <c r="A95" s="83"/>
      <c r="B95" s="46" t="s">
        <v>60</v>
      </c>
      <c r="C95" s="14"/>
      <c r="D95" s="14"/>
      <c r="E95" s="14"/>
      <c r="F95" s="14"/>
      <c r="G95" s="14"/>
      <c r="H95" s="14"/>
      <c r="I95" s="14"/>
      <c r="J95" s="15">
        <f t="shared" ref="J95:J100" si="8">SUM(C95:I95)</f>
        <v>0</v>
      </c>
      <c r="K95" s="77">
        <f>IF(J95&gt;0,K91,)</f>
        <v>0</v>
      </c>
      <c r="L95" s="16">
        <f t="shared" ref="L95:L100" si="9">J95*K95</f>
        <v>0</v>
      </c>
      <c r="M95" s="78" t="str">
        <f>IF(K91&gt;0,"UNION 3.5%:",0)</f>
        <v>UNION 3.5%:</v>
      </c>
      <c r="N95" s="79">
        <f>N93*0.035</f>
        <v>0</v>
      </c>
      <c r="O95" s="75"/>
      <c r="P95" s="80" t="str">
        <f>IF('Filtered Information'!$B$1&gt;=A91,"NO","YES")</f>
        <v>YES</v>
      </c>
      <c r="R95" s="38"/>
      <c r="S95" s="48"/>
      <c r="T95" s="48"/>
      <c r="U95" s="48"/>
      <c r="V95" s="48"/>
      <c r="AA95" s="81"/>
      <c r="AB95" s="81"/>
    </row>
    <row r="96" spans="1:28" s="53" customFormat="1" ht="13.5" hidden="1" thickTop="1">
      <c r="A96" s="55">
        <f>A91+1</f>
        <v>18</v>
      </c>
      <c r="B96" s="56" t="s">
        <v>54</v>
      </c>
      <c r="C96" s="8"/>
      <c r="D96" s="8"/>
      <c r="E96" s="8"/>
      <c r="F96" s="8"/>
      <c r="G96" s="8"/>
      <c r="H96" s="8"/>
      <c r="I96" s="8"/>
      <c r="J96" s="9">
        <f t="shared" si="8"/>
        <v>0</v>
      </c>
      <c r="K96" s="57" t="str">
        <f>IFERROR(VLOOKUP(A96,'Filtered Information'!$A$3:$D$64,2,FALSE),"0")</f>
        <v>0</v>
      </c>
      <c r="L96" s="10">
        <f t="shared" si="9"/>
        <v>0</v>
      </c>
      <c r="M96" s="58" t="str">
        <f>IF(K96&gt;0,"SUBTOTAL:",0)</f>
        <v>SUBTOTAL:</v>
      </c>
      <c r="N96" s="59">
        <f>SUM(L96:L100)</f>
        <v>0</v>
      </c>
      <c r="O96" s="60"/>
      <c r="P96" s="61" t="str">
        <f>IF('Filtered Information'!$B$1&gt;=A96,"NO","YES")</f>
        <v>YES</v>
      </c>
      <c r="Q96" s="62"/>
      <c r="R96" s="38"/>
      <c r="S96" s="48"/>
      <c r="T96" s="48"/>
      <c r="U96" s="48"/>
      <c r="V96" s="48"/>
      <c r="AA96" s="63"/>
      <c r="AB96" s="63"/>
    </row>
    <row r="97" spans="1:28" hidden="1">
      <c r="A97" s="64" t="str">
        <f>IFERROR(VLOOKUP(A96,'Filtered Information'!$A$3:$E$66,4,FALSE),"-")</f>
        <v>-</v>
      </c>
      <c r="B97" s="27" t="s">
        <v>55</v>
      </c>
      <c r="C97" s="11"/>
      <c r="D97" s="11"/>
      <c r="E97" s="11"/>
      <c r="F97" s="11"/>
      <c r="G97" s="11"/>
      <c r="H97" s="11"/>
      <c r="I97" s="11"/>
      <c r="J97" s="12">
        <f t="shared" si="8"/>
        <v>0</v>
      </c>
      <c r="K97" s="65">
        <f>IF(J97&gt;0,K96*1.5,)</f>
        <v>0</v>
      </c>
      <c r="L97" s="13">
        <f t="shared" si="9"/>
        <v>0</v>
      </c>
      <c r="M97" s="66" t="s">
        <v>56</v>
      </c>
      <c r="N97" s="67">
        <f>N96*0.08</f>
        <v>0</v>
      </c>
      <c r="O97" s="68"/>
      <c r="P97" s="69" t="str">
        <f>IF('Filtered Information'!$B$1&gt;=A96,"NO","YES")</f>
        <v>YES</v>
      </c>
    </row>
    <row r="98" spans="1:28" hidden="1">
      <c r="A98" s="64" t="str">
        <f>IFERROR(VLOOKUP(A96,'Filtered Information'!$A$3:$E$66,3,FALSE),"-")</f>
        <v>-</v>
      </c>
      <c r="B98" s="27" t="s">
        <v>57</v>
      </c>
      <c r="C98" s="11"/>
      <c r="D98" s="11"/>
      <c r="E98" s="11"/>
      <c r="F98" s="11"/>
      <c r="G98" s="11"/>
      <c r="H98" s="11"/>
      <c r="I98" s="11"/>
      <c r="J98" s="12">
        <f t="shared" si="8"/>
        <v>0</v>
      </c>
      <c r="K98" s="65">
        <f>IF(J98&gt;0,K96*2,)</f>
        <v>0</v>
      </c>
      <c r="L98" s="13">
        <f t="shared" si="9"/>
        <v>0</v>
      </c>
      <c r="M98" s="70" t="str">
        <f>IF(K96&gt;0,"TOTAL WAGE:",0)</f>
        <v>TOTAL WAGE:</v>
      </c>
      <c r="N98" s="71">
        <f>N96+N97</f>
        <v>0</v>
      </c>
      <c r="O98" s="48">
        <f>N98</f>
        <v>0</v>
      </c>
      <c r="P98" s="69" t="str">
        <f>IF('Filtered Information'!$B$1&gt;=A96,"NO","YES")</f>
        <v>YES</v>
      </c>
    </row>
    <row r="99" spans="1:28" hidden="1">
      <c r="A99" s="82" t="str">
        <f>IFERROR(VLOOKUP(A96,'Filtered Information'!$A$3:$E$64,5,FALSE),"-")</f>
        <v>-</v>
      </c>
      <c r="B99" s="27" t="s">
        <v>58</v>
      </c>
      <c r="C99" s="11"/>
      <c r="D99" s="11"/>
      <c r="E99" s="11"/>
      <c r="F99" s="11"/>
      <c r="G99" s="11"/>
      <c r="H99" s="11"/>
      <c r="I99" s="11"/>
      <c r="J99" s="12">
        <f t="shared" si="8"/>
        <v>0</v>
      </c>
      <c r="K99" s="65"/>
      <c r="L99" s="13">
        <f t="shared" si="9"/>
        <v>0</v>
      </c>
      <c r="M99" s="72"/>
      <c r="N99" s="73"/>
      <c r="P99" s="69" t="str">
        <f>IF('Filtered Information'!$B$1&gt;=A96,"NO","YES")</f>
        <v>YES</v>
      </c>
      <c r="R99" s="74"/>
      <c r="S99" s="75"/>
      <c r="T99" s="75"/>
      <c r="U99" s="75"/>
      <c r="V99" s="75"/>
    </row>
    <row r="100" spans="1:28" s="74" customFormat="1" ht="13.5" hidden="1" thickBot="1">
      <c r="A100" s="83"/>
      <c r="B100" s="46" t="s">
        <v>60</v>
      </c>
      <c r="C100" s="14"/>
      <c r="D100" s="14"/>
      <c r="E100" s="14"/>
      <c r="F100" s="14"/>
      <c r="G100" s="14"/>
      <c r="H100" s="14"/>
      <c r="I100" s="14"/>
      <c r="J100" s="15">
        <f t="shared" si="8"/>
        <v>0</v>
      </c>
      <c r="K100" s="77">
        <f>IF(J100&gt;0,K96,)</f>
        <v>0</v>
      </c>
      <c r="L100" s="16">
        <f t="shared" si="9"/>
        <v>0</v>
      </c>
      <c r="M100" s="78" t="str">
        <f>IF(K96&gt;0,"UNION 3.5%:",0)</f>
        <v>UNION 3.5%:</v>
      </c>
      <c r="N100" s="79">
        <f>N98*0.035</f>
        <v>0</v>
      </c>
      <c r="O100" s="75"/>
      <c r="P100" s="80" t="str">
        <f>IF('Filtered Information'!$B$1&gt;=A96,"NO","YES")</f>
        <v>YES</v>
      </c>
      <c r="R100" s="38"/>
      <c r="S100" s="48"/>
      <c r="T100" s="48"/>
      <c r="U100" s="48"/>
      <c r="V100" s="48"/>
      <c r="AA100" s="81"/>
      <c r="AB100" s="81"/>
    </row>
    <row r="101" spans="1:28" s="53" customFormat="1" ht="13.5" hidden="1" thickTop="1">
      <c r="A101" s="55">
        <f>A96+1</f>
        <v>19</v>
      </c>
      <c r="B101" s="56" t="s">
        <v>54</v>
      </c>
      <c r="C101" s="8"/>
      <c r="D101" s="8"/>
      <c r="E101" s="8"/>
      <c r="F101" s="8"/>
      <c r="G101" s="8"/>
      <c r="H101" s="8"/>
      <c r="I101" s="8"/>
      <c r="J101" s="9">
        <f t="shared" ref="J101:J120" si="10">SUM(C101:I101)</f>
        <v>0</v>
      </c>
      <c r="K101" s="57" t="str">
        <f>IFERROR(VLOOKUP(A101,'Filtered Information'!$A$3:$D$64,2,FALSE),"0")</f>
        <v>0</v>
      </c>
      <c r="L101" s="10">
        <f t="shared" ref="L101:L120" si="11">J101*K101</f>
        <v>0</v>
      </c>
      <c r="M101" s="58" t="str">
        <f>IF(K101&gt;0,"SUBTOTAL:",0)</f>
        <v>SUBTOTAL:</v>
      </c>
      <c r="N101" s="59">
        <f>SUM(L101:L105)</f>
        <v>0</v>
      </c>
      <c r="O101" s="60"/>
      <c r="P101" s="61" t="str">
        <f>IF('Filtered Information'!$B$1&gt;=A101,"NO","YES")</f>
        <v>YES</v>
      </c>
      <c r="Q101" s="62"/>
      <c r="R101" s="38"/>
      <c r="S101" s="48"/>
      <c r="T101" s="48"/>
      <c r="U101" s="48"/>
      <c r="V101" s="48"/>
      <c r="AA101" s="63"/>
      <c r="AB101" s="63"/>
    </row>
    <row r="102" spans="1:28" hidden="1">
      <c r="A102" s="64" t="str">
        <f>IFERROR(VLOOKUP(A101,'Filtered Information'!$A$3:$E$66,4,FALSE),"-")</f>
        <v>-</v>
      </c>
      <c r="B102" s="27" t="s">
        <v>55</v>
      </c>
      <c r="C102" s="11"/>
      <c r="D102" s="11"/>
      <c r="E102" s="11"/>
      <c r="F102" s="11"/>
      <c r="G102" s="11"/>
      <c r="H102" s="11"/>
      <c r="I102" s="11"/>
      <c r="J102" s="12">
        <f t="shared" si="10"/>
        <v>0</v>
      </c>
      <c r="K102" s="65">
        <f>IF(J102&gt;0,K101*1.5,)</f>
        <v>0</v>
      </c>
      <c r="L102" s="13">
        <f t="shared" si="11"/>
        <v>0</v>
      </c>
      <c r="M102" s="66" t="s">
        <v>56</v>
      </c>
      <c r="N102" s="67">
        <f>N101*0.08</f>
        <v>0</v>
      </c>
      <c r="O102" s="68"/>
      <c r="P102" s="69" t="str">
        <f>IF('Filtered Information'!$B$1&gt;=A101,"NO","YES")</f>
        <v>YES</v>
      </c>
    </row>
    <row r="103" spans="1:28" hidden="1">
      <c r="A103" s="64" t="str">
        <f>IFERROR(VLOOKUP(A101,'Filtered Information'!$A$3:$E$66,3,FALSE),"-")</f>
        <v>-</v>
      </c>
      <c r="B103" s="27" t="s">
        <v>57</v>
      </c>
      <c r="C103" s="11"/>
      <c r="D103" s="11"/>
      <c r="E103" s="11"/>
      <c r="F103" s="11"/>
      <c r="G103" s="11"/>
      <c r="H103" s="11"/>
      <c r="I103" s="11"/>
      <c r="J103" s="12">
        <f t="shared" si="10"/>
        <v>0</v>
      </c>
      <c r="K103" s="65">
        <f>IF(J103&gt;0,K101*2,)</f>
        <v>0</v>
      </c>
      <c r="L103" s="13">
        <f t="shared" si="11"/>
        <v>0</v>
      </c>
      <c r="M103" s="70" t="str">
        <f>IF(K101&gt;0,"TOTAL WAGE:",0)</f>
        <v>TOTAL WAGE:</v>
      </c>
      <c r="N103" s="71">
        <f>N101+N102</f>
        <v>0</v>
      </c>
      <c r="O103" s="48">
        <f>N103</f>
        <v>0</v>
      </c>
      <c r="P103" s="69" t="str">
        <f>IF('Filtered Information'!$B$1&gt;=A101,"NO","YES")</f>
        <v>YES</v>
      </c>
    </row>
    <row r="104" spans="1:28" hidden="1">
      <c r="A104" s="82" t="str">
        <f>IFERROR(VLOOKUP(A101,'Filtered Information'!$A$3:$E$64,5,FALSE),"-")</f>
        <v>-</v>
      </c>
      <c r="B104" s="27" t="s">
        <v>58</v>
      </c>
      <c r="C104" s="11"/>
      <c r="D104" s="11"/>
      <c r="E104" s="11"/>
      <c r="F104" s="11"/>
      <c r="G104" s="11"/>
      <c r="H104" s="11"/>
      <c r="I104" s="11"/>
      <c r="J104" s="12">
        <f t="shared" si="10"/>
        <v>0</v>
      </c>
      <c r="K104" s="65"/>
      <c r="L104" s="13">
        <f t="shared" si="11"/>
        <v>0</v>
      </c>
      <c r="M104" s="72"/>
      <c r="N104" s="73"/>
      <c r="P104" s="69" t="str">
        <f>IF('Filtered Information'!$B$1&gt;=A101,"NO","YES")</f>
        <v>YES</v>
      </c>
      <c r="R104" s="74"/>
      <c r="S104" s="75"/>
      <c r="T104" s="75"/>
      <c r="U104" s="75"/>
      <c r="V104" s="75"/>
    </row>
    <row r="105" spans="1:28" s="74" customFormat="1" ht="13.5" hidden="1" thickBot="1">
      <c r="A105" s="76"/>
      <c r="B105" s="46" t="s">
        <v>60</v>
      </c>
      <c r="C105" s="14"/>
      <c r="D105" s="14"/>
      <c r="E105" s="14"/>
      <c r="F105" s="14"/>
      <c r="G105" s="14"/>
      <c r="H105" s="14"/>
      <c r="I105" s="14"/>
      <c r="J105" s="15">
        <f t="shared" si="10"/>
        <v>0</v>
      </c>
      <c r="K105" s="77">
        <f>IF(J105&gt;0,K101,)</f>
        <v>0</v>
      </c>
      <c r="L105" s="16">
        <f t="shared" si="11"/>
        <v>0</v>
      </c>
      <c r="M105" s="78" t="str">
        <f>IF(K101&gt;0,"UNION 3.5%:",0)</f>
        <v>UNION 3.5%:</v>
      </c>
      <c r="N105" s="79">
        <f>N103*0.035</f>
        <v>0</v>
      </c>
      <c r="O105" s="75"/>
      <c r="P105" s="80" t="str">
        <f>IF('Filtered Information'!$B$1&gt;=A101,"NO","YES")</f>
        <v>YES</v>
      </c>
      <c r="R105" s="38"/>
      <c r="S105" s="48"/>
      <c r="T105" s="48"/>
      <c r="U105" s="48"/>
      <c r="V105" s="48"/>
      <c r="AA105" s="81"/>
      <c r="AB105" s="81"/>
    </row>
    <row r="106" spans="1:28" s="53" customFormat="1" ht="13.5" hidden="1" thickTop="1">
      <c r="A106" s="55">
        <f>A101+1</f>
        <v>20</v>
      </c>
      <c r="B106" s="56" t="s">
        <v>54</v>
      </c>
      <c r="C106" s="8"/>
      <c r="D106" s="8"/>
      <c r="E106" s="8"/>
      <c r="F106" s="8"/>
      <c r="G106" s="8"/>
      <c r="H106" s="8"/>
      <c r="I106" s="8"/>
      <c r="J106" s="9">
        <f t="shared" si="10"/>
        <v>0</v>
      </c>
      <c r="K106" s="57" t="str">
        <f>IFERROR(VLOOKUP(A106,'Filtered Information'!$A$3:$D$64,2,FALSE),"0")</f>
        <v>0</v>
      </c>
      <c r="L106" s="10">
        <f t="shared" si="11"/>
        <v>0</v>
      </c>
      <c r="M106" s="58" t="str">
        <f>IF(K106&gt;0,"SUBTOTAL:",0)</f>
        <v>SUBTOTAL:</v>
      </c>
      <c r="N106" s="59">
        <f>SUM(L106:L110)</f>
        <v>0</v>
      </c>
      <c r="O106" s="60"/>
      <c r="P106" s="61" t="str">
        <f>IF('Filtered Information'!$B$1&gt;=A106,"NO","YES")</f>
        <v>YES</v>
      </c>
      <c r="Q106" s="62"/>
      <c r="R106" s="38"/>
      <c r="S106" s="48"/>
      <c r="T106" s="48"/>
      <c r="U106" s="48"/>
      <c r="V106" s="48"/>
      <c r="AA106" s="63"/>
      <c r="AB106" s="63"/>
    </row>
    <row r="107" spans="1:28" hidden="1">
      <c r="A107" s="64" t="str">
        <f>IFERROR(VLOOKUP(A106,'Filtered Information'!$A$3:$E$66,4,FALSE),"-")</f>
        <v>-</v>
      </c>
      <c r="B107" s="27" t="s">
        <v>55</v>
      </c>
      <c r="C107" s="11"/>
      <c r="D107" s="11"/>
      <c r="E107" s="11"/>
      <c r="F107" s="11"/>
      <c r="G107" s="11"/>
      <c r="H107" s="11"/>
      <c r="I107" s="11"/>
      <c r="J107" s="12">
        <f t="shared" si="10"/>
        <v>0</v>
      </c>
      <c r="K107" s="65">
        <f>IF(J107&gt;0,K106*1.5,)</f>
        <v>0</v>
      </c>
      <c r="L107" s="13">
        <f t="shared" si="11"/>
        <v>0</v>
      </c>
      <c r="M107" s="66" t="s">
        <v>56</v>
      </c>
      <c r="N107" s="67">
        <f>N106*0.08</f>
        <v>0</v>
      </c>
      <c r="O107" s="68"/>
      <c r="P107" s="69" t="str">
        <f>IF('Filtered Information'!$B$1&gt;=A106,"NO","YES")</f>
        <v>YES</v>
      </c>
    </row>
    <row r="108" spans="1:28" hidden="1">
      <c r="A108" s="64" t="str">
        <f>IFERROR(VLOOKUP(A106,'Filtered Information'!$A$3:$E$66,3,FALSE),"-")</f>
        <v>-</v>
      </c>
      <c r="B108" s="27" t="s">
        <v>57</v>
      </c>
      <c r="C108" s="11"/>
      <c r="D108" s="11"/>
      <c r="E108" s="11"/>
      <c r="F108" s="11"/>
      <c r="G108" s="11"/>
      <c r="H108" s="11"/>
      <c r="I108" s="11"/>
      <c r="J108" s="12">
        <f t="shared" si="10"/>
        <v>0</v>
      </c>
      <c r="K108" s="65">
        <f>IF(J108&gt;0,K106*2,)</f>
        <v>0</v>
      </c>
      <c r="L108" s="13">
        <f t="shared" si="11"/>
        <v>0</v>
      </c>
      <c r="M108" s="70" t="str">
        <f>IF(K106&gt;0,"TOTAL WAGE:",0)</f>
        <v>TOTAL WAGE:</v>
      </c>
      <c r="N108" s="71">
        <f>N106+N107</f>
        <v>0</v>
      </c>
      <c r="O108" s="48">
        <f>N108</f>
        <v>0</v>
      </c>
      <c r="P108" s="69" t="str">
        <f>IF('Filtered Information'!$B$1&gt;=A106,"NO","YES")</f>
        <v>YES</v>
      </c>
    </row>
    <row r="109" spans="1:28" hidden="1">
      <c r="A109" s="82" t="str">
        <f>IFERROR(VLOOKUP(A106,'Filtered Information'!$A$3:$E$64,5,FALSE),"-")</f>
        <v>-</v>
      </c>
      <c r="B109" s="27" t="s">
        <v>58</v>
      </c>
      <c r="C109" s="11"/>
      <c r="D109" s="11"/>
      <c r="E109" s="11"/>
      <c r="F109" s="11"/>
      <c r="G109" s="11"/>
      <c r="H109" s="11"/>
      <c r="I109" s="11"/>
      <c r="J109" s="12">
        <f t="shared" si="10"/>
        <v>0</v>
      </c>
      <c r="K109" s="65"/>
      <c r="L109" s="13">
        <f t="shared" si="11"/>
        <v>0</v>
      </c>
      <c r="M109" s="72"/>
      <c r="N109" s="73"/>
      <c r="P109" s="69" t="str">
        <f>IF('Filtered Information'!$B$1&gt;=A106,"NO","YES")</f>
        <v>YES</v>
      </c>
      <c r="R109" s="74"/>
      <c r="S109" s="75"/>
      <c r="T109" s="75"/>
      <c r="U109" s="75"/>
      <c r="V109" s="75"/>
    </row>
    <row r="110" spans="1:28" s="74" customFormat="1" ht="13.5" hidden="1" thickBot="1">
      <c r="A110" s="83"/>
      <c r="B110" s="46" t="s">
        <v>60</v>
      </c>
      <c r="C110" s="14"/>
      <c r="D110" s="14"/>
      <c r="E110" s="14"/>
      <c r="F110" s="14"/>
      <c r="G110" s="14"/>
      <c r="H110" s="14"/>
      <c r="I110" s="14"/>
      <c r="J110" s="15">
        <f t="shared" si="10"/>
        <v>0</v>
      </c>
      <c r="K110" s="77">
        <f>IF(J110&gt;0,K106,)</f>
        <v>0</v>
      </c>
      <c r="L110" s="16">
        <f t="shared" si="11"/>
        <v>0</v>
      </c>
      <c r="M110" s="78" t="str">
        <f>IF(K106&gt;0,"UNION 3.5%:",0)</f>
        <v>UNION 3.5%:</v>
      </c>
      <c r="N110" s="79">
        <f>N108*0.035</f>
        <v>0</v>
      </c>
      <c r="O110" s="75"/>
      <c r="P110" s="80" t="str">
        <f>IF('Filtered Information'!$B$1&gt;=A106,"NO","YES")</f>
        <v>YES</v>
      </c>
      <c r="R110" s="38"/>
      <c r="S110" s="48"/>
      <c r="T110" s="48"/>
      <c r="U110" s="48"/>
      <c r="V110" s="48"/>
      <c r="AA110" s="81"/>
      <c r="AB110" s="81"/>
    </row>
    <row r="111" spans="1:28" s="53" customFormat="1" ht="13.5" hidden="1" thickTop="1">
      <c r="A111" s="55">
        <f>A106+1</f>
        <v>21</v>
      </c>
      <c r="B111" s="56" t="s">
        <v>54</v>
      </c>
      <c r="C111" s="8"/>
      <c r="D111" s="8"/>
      <c r="E111" s="8"/>
      <c r="F111" s="8"/>
      <c r="G111" s="8"/>
      <c r="H111" s="8"/>
      <c r="I111" s="8"/>
      <c r="J111" s="9">
        <f t="shared" si="10"/>
        <v>0</v>
      </c>
      <c r="K111" s="57" t="str">
        <f>IFERROR(VLOOKUP(A111,'Filtered Information'!$A$3:$D$64,2,FALSE),"0")</f>
        <v>0</v>
      </c>
      <c r="L111" s="10">
        <f t="shared" si="11"/>
        <v>0</v>
      </c>
      <c r="M111" s="58" t="str">
        <f>IF(K111&gt;0,"SUBTOTAL:",0)</f>
        <v>SUBTOTAL:</v>
      </c>
      <c r="N111" s="59">
        <f>SUM(L111:L115)</f>
        <v>0</v>
      </c>
      <c r="O111" s="60"/>
      <c r="P111" s="61" t="str">
        <f>IF('Filtered Information'!$B$1&gt;=A111,"NO","YES")</f>
        <v>YES</v>
      </c>
      <c r="Q111" s="62"/>
      <c r="R111" s="38"/>
      <c r="S111" s="48"/>
      <c r="T111" s="48"/>
      <c r="U111" s="48"/>
      <c r="V111" s="48"/>
      <c r="AA111" s="63"/>
      <c r="AB111" s="63"/>
    </row>
    <row r="112" spans="1:28" hidden="1">
      <c r="A112" s="64" t="str">
        <f>IFERROR(VLOOKUP(A111,'Filtered Information'!$A$3:$E$66,4,FALSE),"-")</f>
        <v>-</v>
      </c>
      <c r="B112" s="27" t="s">
        <v>55</v>
      </c>
      <c r="C112" s="11"/>
      <c r="D112" s="11"/>
      <c r="E112" s="11"/>
      <c r="F112" s="11"/>
      <c r="G112" s="11"/>
      <c r="H112" s="11"/>
      <c r="I112" s="11"/>
      <c r="J112" s="12">
        <f t="shared" si="10"/>
        <v>0</v>
      </c>
      <c r="K112" s="65">
        <f>IF(J112&gt;0,K111*1.5,)</f>
        <v>0</v>
      </c>
      <c r="L112" s="13">
        <f t="shared" si="11"/>
        <v>0</v>
      </c>
      <c r="M112" s="66" t="s">
        <v>56</v>
      </c>
      <c r="N112" s="67">
        <f>N111*0.08</f>
        <v>0</v>
      </c>
      <c r="O112" s="68"/>
      <c r="P112" s="69" t="str">
        <f>IF('Filtered Information'!$B$1&gt;=A111,"NO","YES")</f>
        <v>YES</v>
      </c>
    </row>
    <row r="113" spans="1:28" hidden="1">
      <c r="A113" s="64" t="str">
        <f>IFERROR(VLOOKUP(A111,'Filtered Information'!$A$3:$E$66,3,FALSE),"-")</f>
        <v>-</v>
      </c>
      <c r="B113" s="27" t="s">
        <v>57</v>
      </c>
      <c r="C113" s="11"/>
      <c r="D113" s="11"/>
      <c r="E113" s="11"/>
      <c r="F113" s="11"/>
      <c r="G113" s="11"/>
      <c r="H113" s="11"/>
      <c r="I113" s="11"/>
      <c r="J113" s="12">
        <f t="shared" si="10"/>
        <v>0</v>
      </c>
      <c r="K113" s="65">
        <f>IF(J113&gt;0,K111*2,)</f>
        <v>0</v>
      </c>
      <c r="L113" s="13">
        <f t="shared" si="11"/>
        <v>0</v>
      </c>
      <c r="M113" s="70" t="str">
        <f>IF(K111&gt;0,"TOTAL WAGE:",0)</f>
        <v>TOTAL WAGE:</v>
      </c>
      <c r="N113" s="71">
        <f>N111+N112</f>
        <v>0</v>
      </c>
      <c r="O113" s="48">
        <f>N113</f>
        <v>0</v>
      </c>
      <c r="P113" s="69" t="str">
        <f>IF('Filtered Information'!$B$1&gt;=A111,"NO","YES")</f>
        <v>YES</v>
      </c>
    </row>
    <row r="114" spans="1:28" hidden="1">
      <c r="A114" s="82" t="str">
        <f>IFERROR(VLOOKUP(A111,'Filtered Information'!$A$3:$E$64,5,FALSE),"-")</f>
        <v>-</v>
      </c>
      <c r="B114" s="27" t="s">
        <v>58</v>
      </c>
      <c r="C114" s="11"/>
      <c r="D114" s="11"/>
      <c r="E114" s="11"/>
      <c r="F114" s="11"/>
      <c r="G114" s="11"/>
      <c r="H114" s="11"/>
      <c r="I114" s="11"/>
      <c r="J114" s="12">
        <f t="shared" si="10"/>
        <v>0</v>
      </c>
      <c r="K114" s="65"/>
      <c r="L114" s="13">
        <f t="shared" si="11"/>
        <v>0</v>
      </c>
      <c r="M114" s="72"/>
      <c r="N114" s="73"/>
      <c r="P114" s="69" t="str">
        <f>IF('Filtered Information'!$B$1&gt;=A111,"NO","YES")</f>
        <v>YES</v>
      </c>
      <c r="R114" s="74"/>
      <c r="S114" s="75"/>
      <c r="T114" s="75"/>
      <c r="U114" s="75"/>
      <c r="V114" s="75"/>
    </row>
    <row r="115" spans="1:28" s="74" customFormat="1" ht="13.5" hidden="1" thickBot="1">
      <c r="A115" s="83"/>
      <c r="B115" s="46" t="s">
        <v>60</v>
      </c>
      <c r="C115" s="14"/>
      <c r="D115" s="14"/>
      <c r="E115" s="14"/>
      <c r="F115" s="14"/>
      <c r="G115" s="14"/>
      <c r="H115" s="14"/>
      <c r="I115" s="14"/>
      <c r="J115" s="15">
        <f t="shared" si="10"/>
        <v>0</v>
      </c>
      <c r="K115" s="77">
        <f>IF(J115&gt;0,K111,)</f>
        <v>0</v>
      </c>
      <c r="L115" s="16">
        <f t="shared" si="11"/>
        <v>0</v>
      </c>
      <c r="M115" s="78" t="str">
        <f>IF(K111&gt;0,"UNION 3.5%:",0)</f>
        <v>UNION 3.5%:</v>
      </c>
      <c r="N115" s="79">
        <f>N113*0.035</f>
        <v>0</v>
      </c>
      <c r="O115" s="75"/>
      <c r="P115" s="80" t="str">
        <f>IF('Filtered Information'!$B$1&gt;=A111,"NO","YES")</f>
        <v>YES</v>
      </c>
      <c r="R115" s="38"/>
      <c r="S115" s="48"/>
      <c r="T115" s="48"/>
      <c r="U115" s="48"/>
      <c r="V115" s="48"/>
      <c r="AA115" s="81"/>
      <c r="AB115" s="81"/>
    </row>
    <row r="116" spans="1:28" s="53" customFormat="1" ht="13.5" hidden="1" thickTop="1">
      <c r="A116" s="55">
        <f>A111+1</f>
        <v>22</v>
      </c>
      <c r="B116" s="56" t="s">
        <v>54</v>
      </c>
      <c r="C116" s="8"/>
      <c r="D116" s="8"/>
      <c r="E116" s="8"/>
      <c r="F116" s="8"/>
      <c r="G116" s="8"/>
      <c r="H116" s="8"/>
      <c r="I116" s="8"/>
      <c r="J116" s="9">
        <f t="shared" si="10"/>
        <v>0</v>
      </c>
      <c r="K116" s="57" t="str">
        <f>IFERROR(VLOOKUP(A116,'Filtered Information'!$A$3:$D$64,2,FALSE),"0")</f>
        <v>0</v>
      </c>
      <c r="L116" s="10">
        <f t="shared" si="11"/>
        <v>0</v>
      </c>
      <c r="M116" s="58" t="str">
        <f>IF(K116&gt;0,"SUBTOTAL:",0)</f>
        <v>SUBTOTAL:</v>
      </c>
      <c r="N116" s="59">
        <f>SUM(L116:L120)</f>
        <v>0</v>
      </c>
      <c r="O116" s="60"/>
      <c r="P116" s="61" t="str">
        <f>IF('Filtered Information'!$B$1&gt;=A116,"NO","YES")</f>
        <v>YES</v>
      </c>
      <c r="Q116" s="62"/>
      <c r="R116" s="38"/>
      <c r="S116" s="48"/>
      <c r="T116" s="48"/>
      <c r="U116" s="48"/>
      <c r="V116" s="48"/>
      <c r="AA116" s="63"/>
      <c r="AB116" s="63"/>
    </row>
    <row r="117" spans="1:28" hidden="1">
      <c r="A117" s="64" t="str">
        <f>IFERROR(VLOOKUP(A116,'Filtered Information'!$A$3:$E$66,4,FALSE),"-")</f>
        <v>-</v>
      </c>
      <c r="B117" s="27" t="s">
        <v>55</v>
      </c>
      <c r="C117" s="11"/>
      <c r="D117" s="11"/>
      <c r="E117" s="11"/>
      <c r="F117" s="11"/>
      <c r="G117" s="11"/>
      <c r="H117" s="11"/>
      <c r="I117" s="11"/>
      <c r="J117" s="12">
        <f t="shared" si="10"/>
        <v>0</v>
      </c>
      <c r="K117" s="65">
        <f>IF(J117&gt;0,K116*1.5,)</f>
        <v>0</v>
      </c>
      <c r="L117" s="13">
        <f t="shared" si="11"/>
        <v>0</v>
      </c>
      <c r="M117" s="66" t="s">
        <v>56</v>
      </c>
      <c r="N117" s="67">
        <f>N116*0.08</f>
        <v>0</v>
      </c>
      <c r="O117" s="68"/>
      <c r="P117" s="69" t="str">
        <f>IF('Filtered Information'!$B$1&gt;=A116,"NO","YES")</f>
        <v>YES</v>
      </c>
    </row>
    <row r="118" spans="1:28" hidden="1">
      <c r="A118" s="64" t="str">
        <f>IFERROR(VLOOKUP(A116,'Filtered Information'!$A$3:$E$66,3,FALSE),"-")</f>
        <v>-</v>
      </c>
      <c r="B118" s="27" t="s">
        <v>57</v>
      </c>
      <c r="C118" s="11"/>
      <c r="D118" s="11"/>
      <c r="E118" s="11"/>
      <c r="F118" s="11"/>
      <c r="G118" s="11"/>
      <c r="H118" s="11"/>
      <c r="I118" s="11"/>
      <c r="J118" s="12">
        <f t="shared" si="10"/>
        <v>0</v>
      </c>
      <c r="K118" s="65">
        <f>IF(J118&gt;0,K116*2,)</f>
        <v>0</v>
      </c>
      <c r="L118" s="13">
        <f t="shared" si="11"/>
        <v>0</v>
      </c>
      <c r="M118" s="70" t="str">
        <f>IF(K116&gt;0,"TOTAL WAGE:",0)</f>
        <v>TOTAL WAGE:</v>
      </c>
      <c r="N118" s="71">
        <f>N116+N117</f>
        <v>0</v>
      </c>
      <c r="O118" s="48">
        <f>N118</f>
        <v>0</v>
      </c>
      <c r="P118" s="69" t="str">
        <f>IF('Filtered Information'!$B$1&gt;=A116,"NO","YES")</f>
        <v>YES</v>
      </c>
    </row>
    <row r="119" spans="1:28" hidden="1">
      <c r="A119" s="82" t="str">
        <f>IFERROR(VLOOKUP(A116,'Filtered Information'!$A$3:$E$64,5,FALSE),"-")</f>
        <v>-</v>
      </c>
      <c r="B119" s="27" t="s">
        <v>58</v>
      </c>
      <c r="C119" s="11"/>
      <c r="D119" s="11"/>
      <c r="E119" s="11"/>
      <c r="F119" s="11"/>
      <c r="G119" s="11"/>
      <c r="H119" s="11"/>
      <c r="I119" s="11"/>
      <c r="J119" s="12">
        <f t="shared" si="10"/>
        <v>0</v>
      </c>
      <c r="K119" s="65"/>
      <c r="L119" s="13">
        <f t="shared" si="11"/>
        <v>0</v>
      </c>
      <c r="M119" s="72"/>
      <c r="N119" s="73"/>
      <c r="P119" s="69" t="str">
        <f>IF('Filtered Information'!$B$1&gt;=A116,"NO","YES")</f>
        <v>YES</v>
      </c>
      <c r="R119" s="74"/>
      <c r="S119" s="75"/>
      <c r="T119" s="75"/>
      <c r="U119" s="75"/>
      <c r="V119" s="75"/>
    </row>
    <row r="120" spans="1:28" s="74" customFormat="1" ht="13.5" hidden="1" thickBot="1">
      <c r="A120" s="83"/>
      <c r="B120" s="46" t="s">
        <v>60</v>
      </c>
      <c r="C120" s="14"/>
      <c r="D120" s="14"/>
      <c r="E120" s="14"/>
      <c r="F120" s="14"/>
      <c r="G120" s="14"/>
      <c r="H120" s="14"/>
      <c r="I120" s="14"/>
      <c r="J120" s="15">
        <f t="shared" si="10"/>
        <v>0</v>
      </c>
      <c r="K120" s="77">
        <f>IF(J120&gt;0,K116,)</f>
        <v>0</v>
      </c>
      <c r="L120" s="16">
        <f t="shared" si="11"/>
        <v>0</v>
      </c>
      <c r="M120" s="78" t="str">
        <f>IF(K116&gt;0,"UNION 3.5%:",0)</f>
        <v>UNION 3.5%:</v>
      </c>
      <c r="N120" s="79">
        <f>N118*0.035</f>
        <v>0</v>
      </c>
      <c r="O120" s="75"/>
      <c r="P120" s="80" t="str">
        <f>IF('Filtered Information'!$B$1&gt;=A116,"NO","YES")</f>
        <v>YES</v>
      </c>
      <c r="R120" s="38"/>
      <c r="S120" s="48"/>
      <c r="T120" s="48"/>
      <c r="U120" s="48"/>
      <c r="V120" s="48"/>
      <c r="AA120" s="81"/>
      <c r="AB120" s="81"/>
    </row>
    <row r="121" spans="1:28" s="53" customFormat="1" ht="13.5" hidden="1" thickTop="1">
      <c r="A121" s="55">
        <f>A116+1</f>
        <v>23</v>
      </c>
      <c r="B121" s="56" t="s">
        <v>54</v>
      </c>
      <c r="C121" s="8"/>
      <c r="D121" s="8"/>
      <c r="E121" s="8"/>
      <c r="F121" s="8"/>
      <c r="G121" s="8"/>
      <c r="H121" s="8"/>
      <c r="I121" s="8"/>
      <c r="J121" s="9">
        <f t="shared" ref="J121:J152" si="12">SUM(C121:I121)</f>
        <v>0</v>
      </c>
      <c r="K121" s="57" t="str">
        <f>IFERROR(VLOOKUP(A121,'Filtered Information'!$A$3:$D$64,2,FALSE),"0")</f>
        <v>0</v>
      </c>
      <c r="L121" s="10">
        <f t="shared" ref="L121:L152" si="13">J121*K121</f>
        <v>0</v>
      </c>
      <c r="M121" s="58" t="str">
        <f>IF(K121&gt;0,"SUBTOTAL:",0)</f>
        <v>SUBTOTAL:</v>
      </c>
      <c r="N121" s="59">
        <f>SUM(L121:L125)</f>
        <v>0</v>
      </c>
      <c r="O121" s="60"/>
      <c r="P121" s="61" t="str">
        <f>IF('Filtered Information'!$B$1&gt;=A121,"NO","YES")</f>
        <v>YES</v>
      </c>
      <c r="Q121" s="62"/>
      <c r="R121" s="38"/>
      <c r="S121" s="48"/>
      <c r="T121" s="48"/>
      <c r="U121" s="48"/>
      <c r="V121" s="48"/>
      <c r="AA121" s="63"/>
      <c r="AB121" s="63"/>
    </row>
    <row r="122" spans="1:28" hidden="1">
      <c r="A122" s="64" t="str">
        <f>IFERROR(VLOOKUP(A121,'Filtered Information'!$A$3:$E$66,4,FALSE),"-")</f>
        <v>-</v>
      </c>
      <c r="B122" s="27" t="s">
        <v>55</v>
      </c>
      <c r="C122" s="11"/>
      <c r="D122" s="11"/>
      <c r="E122" s="11"/>
      <c r="F122" s="11"/>
      <c r="G122" s="11"/>
      <c r="H122" s="11"/>
      <c r="I122" s="11"/>
      <c r="J122" s="12">
        <f t="shared" si="12"/>
        <v>0</v>
      </c>
      <c r="K122" s="65">
        <f>IF(J122&gt;0,K121*1.5,)</f>
        <v>0</v>
      </c>
      <c r="L122" s="13">
        <f t="shared" si="13"/>
        <v>0</v>
      </c>
      <c r="M122" s="66" t="s">
        <v>56</v>
      </c>
      <c r="N122" s="67">
        <f>N121*0.08</f>
        <v>0</v>
      </c>
      <c r="O122" s="68"/>
      <c r="P122" s="69" t="str">
        <f>IF('Filtered Information'!$B$1&gt;=A121,"NO","YES")</f>
        <v>YES</v>
      </c>
    </row>
    <row r="123" spans="1:28" hidden="1">
      <c r="A123" s="64" t="str">
        <f>IFERROR(VLOOKUP(A121,'Filtered Information'!$A$3:$E$66,3,FALSE),"-")</f>
        <v>-</v>
      </c>
      <c r="B123" s="27" t="s">
        <v>57</v>
      </c>
      <c r="C123" s="11"/>
      <c r="D123" s="11"/>
      <c r="E123" s="11"/>
      <c r="F123" s="11"/>
      <c r="G123" s="11"/>
      <c r="H123" s="11"/>
      <c r="I123" s="11"/>
      <c r="J123" s="12">
        <f t="shared" si="12"/>
        <v>0</v>
      </c>
      <c r="K123" s="65">
        <f>IF(J123&gt;0,K121*2,)</f>
        <v>0</v>
      </c>
      <c r="L123" s="13">
        <f t="shared" si="13"/>
        <v>0</v>
      </c>
      <c r="M123" s="70" t="str">
        <f>IF(K121&gt;0,"TOTAL WAGE:",0)</f>
        <v>TOTAL WAGE:</v>
      </c>
      <c r="N123" s="71">
        <f>N121+N122</f>
        <v>0</v>
      </c>
      <c r="O123" s="48">
        <f>N123</f>
        <v>0</v>
      </c>
      <c r="P123" s="69" t="str">
        <f>IF('Filtered Information'!$B$1&gt;=A121,"NO","YES")</f>
        <v>YES</v>
      </c>
    </row>
    <row r="124" spans="1:28" hidden="1">
      <c r="A124" s="82" t="str">
        <f>IFERROR(VLOOKUP(A121,'Filtered Information'!$A$3:$E$64,5,FALSE),"-")</f>
        <v>-</v>
      </c>
      <c r="B124" s="27" t="s">
        <v>58</v>
      </c>
      <c r="C124" s="11"/>
      <c r="D124" s="11"/>
      <c r="E124" s="11"/>
      <c r="F124" s="11"/>
      <c r="G124" s="11"/>
      <c r="H124" s="11"/>
      <c r="I124" s="11"/>
      <c r="J124" s="12">
        <f t="shared" si="12"/>
        <v>0</v>
      </c>
      <c r="K124" s="65"/>
      <c r="L124" s="13">
        <f t="shared" si="13"/>
        <v>0</v>
      </c>
      <c r="M124" s="72"/>
      <c r="N124" s="73"/>
      <c r="P124" s="69" t="str">
        <f>IF('Filtered Information'!$B$1&gt;=A121,"NO","YES")</f>
        <v>YES</v>
      </c>
      <c r="R124" s="74"/>
      <c r="S124" s="75"/>
      <c r="T124" s="75"/>
      <c r="U124" s="75"/>
      <c r="V124" s="75"/>
    </row>
    <row r="125" spans="1:28" s="74" customFormat="1" ht="13.5" hidden="1" thickBot="1">
      <c r="A125" s="83"/>
      <c r="B125" s="46" t="s">
        <v>60</v>
      </c>
      <c r="C125" s="14"/>
      <c r="D125" s="14"/>
      <c r="E125" s="14"/>
      <c r="F125" s="14"/>
      <c r="G125" s="14"/>
      <c r="H125" s="14"/>
      <c r="I125" s="14"/>
      <c r="J125" s="15">
        <f t="shared" si="12"/>
        <v>0</v>
      </c>
      <c r="K125" s="77">
        <f>IF(J125&gt;0,K121,)</f>
        <v>0</v>
      </c>
      <c r="L125" s="16">
        <f t="shared" si="13"/>
        <v>0</v>
      </c>
      <c r="M125" s="78" t="str">
        <f>IF(K121&gt;0,"UNION 3.5%:",0)</f>
        <v>UNION 3.5%:</v>
      </c>
      <c r="N125" s="79">
        <f>N123*0.035</f>
        <v>0</v>
      </c>
      <c r="O125" s="75"/>
      <c r="P125" s="80" t="str">
        <f>IF('Filtered Information'!$B$1&gt;=A121,"NO","YES")</f>
        <v>YES</v>
      </c>
      <c r="R125" s="38"/>
      <c r="S125" s="48"/>
      <c r="T125" s="48"/>
      <c r="U125" s="48"/>
      <c r="V125" s="48"/>
      <c r="AA125" s="81"/>
      <c r="AB125" s="81"/>
    </row>
    <row r="126" spans="1:28" s="53" customFormat="1" ht="13.5" hidden="1" thickTop="1">
      <c r="A126" s="55">
        <f>A121+1</f>
        <v>24</v>
      </c>
      <c r="B126" s="56" t="s">
        <v>54</v>
      </c>
      <c r="C126" s="8"/>
      <c r="D126" s="8"/>
      <c r="E126" s="8"/>
      <c r="F126" s="8"/>
      <c r="G126" s="8"/>
      <c r="H126" s="8"/>
      <c r="I126" s="8"/>
      <c r="J126" s="9">
        <f t="shared" si="12"/>
        <v>0</v>
      </c>
      <c r="K126" s="57" t="str">
        <f>IFERROR(VLOOKUP(A126,'Filtered Information'!$A$3:$D$64,2,FALSE),"0")</f>
        <v>0</v>
      </c>
      <c r="L126" s="10">
        <f t="shared" si="13"/>
        <v>0</v>
      </c>
      <c r="M126" s="58" t="str">
        <f>IF(K126&gt;0,"SUBTOTAL:",0)</f>
        <v>SUBTOTAL:</v>
      </c>
      <c r="N126" s="59">
        <f>SUM(L126:L130)</f>
        <v>0</v>
      </c>
      <c r="O126" s="60"/>
      <c r="P126" s="61" t="str">
        <f>IF('Filtered Information'!$B$1&gt;=A126,"NO","YES")</f>
        <v>YES</v>
      </c>
      <c r="Q126" s="62"/>
      <c r="R126" s="38"/>
      <c r="S126" s="48"/>
      <c r="T126" s="48"/>
      <c r="U126" s="48"/>
      <c r="V126" s="48"/>
      <c r="AA126" s="63"/>
      <c r="AB126" s="63"/>
    </row>
    <row r="127" spans="1:28" hidden="1">
      <c r="A127" s="64" t="str">
        <f>IFERROR(VLOOKUP(A126,'Filtered Information'!$A$3:$E$66,4,FALSE),"-")</f>
        <v>-</v>
      </c>
      <c r="B127" s="27" t="s">
        <v>55</v>
      </c>
      <c r="C127" s="11"/>
      <c r="D127" s="11"/>
      <c r="E127" s="11"/>
      <c r="F127" s="11"/>
      <c r="G127" s="11"/>
      <c r="H127" s="11"/>
      <c r="I127" s="11"/>
      <c r="J127" s="12">
        <f t="shared" si="12"/>
        <v>0</v>
      </c>
      <c r="K127" s="65">
        <f>IF(J127&gt;0,K126*1.5,)</f>
        <v>0</v>
      </c>
      <c r="L127" s="13">
        <f t="shared" si="13"/>
        <v>0</v>
      </c>
      <c r="M127" s="66" t="s">
        <v>56</v>
      </c>
      <c r="N127" s="67">
        <f>N126*0.08</f>
        <v>0</v>
      </c>
      <c r="O127" s="68"/>
      <c r="P127" s="69" t="str">
        <f>IF('Filtered Information'!$B$1&gt;=A126,"NO","YES")</f>
        <v>YES</v>
      </c>
    </row>
    <row r="128" spans="1:28" hidden="1">
      <c r="A128" s="64" t="str">
        <f>IFERROR(VLOOKUP(A126,'Filtered Information'!$A$3:$E$66,3,FALSE),"-")</f>
        <v>-</v>
      </c>
      <c r="B128" s="27" t="s">
        <v>57</v>
      </c>
      <c r="C128" s="11"/>
      <c r="D128" s="11"/>
      <c r="E128" s="11"/>
      <c r="F128" s="11"/>
      <c r="G128" s="11"/>
      <c r="H128" s="11"/>
      <c r="I128" s="11"/>
      <c r="J128" s="12">
        <f t="shared" si="12"/>
        <v>0</v>
      </c>
      <c r="K128" s="65">
        <f>IF(J128&gt;0,K126*2,)</f>
        <v>0</v>
      </c>
      <c r="L128" s="13">
        <f t="shared" si="13"/>
        <v>0</v>
      </c>
      <c r="M128" s="70" t="str">
        <f>IF(K126&gt;0,"TOTAL WAGE:",0)</f>
        <v>TOTAL WAGE:</v>
      </c>
      <c r="N128" s="71">
        <f>N126+N127</f>
        <v>0</v>
      </c>
      <c r="O128" s="48">
        <f>N128</f>
        <v>0</v>
      </c>
      <c r="P128" s="69" t="str">
        <f>IF('Filtered Information'!$B$1&gt;=A126,"NO","YES")</f>
        <v>YES</v>
      </c>
    </row>
    <row r="129" spans="1:28" hidden="1">
      <c r="A129" s="82" t="str">
        <f>IFERROR(VLOOKUP(A126,'Filtered Information'!$A$3:$E$64,5,FALSE),"-")</f>
        <v>-</v>
      </c>
      <c r="B129" s="27" t="s">
        <v>58</v>
      </c>
      <c r="C129" s="11"/>
      <c r="D129" s="11"/>
      <c r="E129" s="11"/>
      <c r="F129" s="11"/>
      <c r="G129" s="11"/>
      <c r="H129" s="11"/>
      <c r="I129" s="11"/>
      <c r="J129" s="12">
        <f t="shared" si="12"/>
        <v>0</v>
      </c>
      <c r="K129" s="65"/>
      <c r="L129" s="13">
        <f t="shared" si="13"/>
        <v>0</v>
      </c>
      <c r="M129" s="72"/>
      <c r="N129" s="73"/>
      <c r="P129" s="69" t="str">
        <f>IF('Filtered Information'!$B$1&gt;=A126,"NO","YES")</f>
        <v>YES</v>
      </c>
      <c r="R129" s="74"/>
      <c r="S129" s="75"/>
      <c r="T129" s="75"/>
      <c r="U129" s="75"/>
      <c r="V129" s="75"/>
    </row>
    <row r="130" spans="1:28" s="74" customFormat="1" ht="13.5" hidden="1" thickBot="1">
      <c r="A130" s="83"/>
      <c r="B130" s="46" t="s">
        <v>60</v>
      </c>
      <c r="C130" s="14"/>
      <c r="D130" s="14"/>
      <c r="E130" s="14"/>
      <c r="F130" s="14"/>
      <c r="G130" s="14"/>
      <c r="H130" s="14"/>
      <c r="I130" s="14"/>
      <c r="J130" s="15">
        <f t="shared" si="12"/>
        <v>0</v>
      </c>
      <c r="K130" s="77">
        <f>IF(J130&gt;0,K126,)</f>
        <v>0</v>
      </c>
      <c r="L130" s="16">
        <f t="shared" si="13"/>
        <v>0</v>
      </c>
      <c r="M130" s="78" t="str">
        <f>IF(K126&gt;0,"UNION 3.5%:",0)</f>
        <v>UNION 3.5%:</v>
      </c>
      <c r="N130" s="79">
        <f>N128*0.035</f>
        <v>0</v>
      </c>
      <c r="O130" s="75"/>
      <c r="P130" s="80" t="str">
        <f>IF('Filtered Information'!$B$1&gt;=A126,"NO","YES")</f>
        <v>YES</v>
      </c>
      <c r="R130" s="38"/>
      <c r="S130" s="48"/>
      <c r="T130" s="48"/>
      <c r="U130" s="48"/>
      <c r="V130" s="48"/>
      <c r="AA130" s="81"/>
      <c r="AB130" s="81"/>
    </row>
    <row r="131" spans="1:28" s="53" customFormat="1" ht="13.5" hidden="1" thickTop="1">
      <c r="A131" s="55">
        <f>A126+1</f>
        <v>25</v>
      </c>
      <c r="B131" s="56" t="s">
        <v>54</v>
      </c>
      <c r="C131" s="8"/>
      <c r="D131" s="8"/>
      <c r="E131" s="8"/>
      <c r="F131" s="8"/>
      <c r="G131" s="8"/>
      <c r="H131" s="8"/>
      <c r="I131" s="8"/>
      <c r="J131" s="9">
        <f t="shared" si="12"/>
        <v>0</v>
      </c>
      <c r="K131" s="57" t="str">
        <f>IFERROR(VLOOKUP(A131,'Filtered Information'!$A$3:$D$64,2,FALSE),"0")</f>
        <v>0</v>
      </c>
      <c r="L131" s="10">
        <f t="shared" si="13"/>
        <v>0</v>
      </c>
      <c r="M131" s="58" t="str">
        <f>IF(K131&gt;0,"SUBTOTAL:",0)</f>
        <v>SUBTOTAL:</v>
      </c>
      <c r="N131" s="59">
        <f>SUM(L131:L135)</f>
        <v>0</v>
      </c>
      <c r="O131" s="60"/>
      <c r="P131" s="61" t="str">
        <f>IF('Filtered Information'!$B$1&gt;=A131,"NO","YES")</f>
        <v>YES</v>
      </c>
      <c r="Q131" s="62"/>
      <c r="R131" s="38"/>
      <c r="S131" s="48"/>
      <c r="T131" s="48"/>
      <c r="U131" s="48"/>
      <c r="V131" s="48"/>
      <c r="AA131" s="63"/>
      <c r="AB131" s="63"/>
    </row>
    <row r="132" spans="1:28" hidden="1">
      <c r="A132" s="64" t="str">
        <f>IFERROR(VLOOKUP(A131,'Filtered Information'!$A$3:$E$66,4,FALSE),"-")</f>
        <v>-</v>
      </c>
      <c r="B132" s="27" t="s">
        <v>55</v>
      </c>
      <c r="C132" s="11"/>
      <c r="D132" s="11"/>
      <c r="E132" s="11"/>
      <c r="F132" s="11"/>
      <c r="G132" s="11"/>
      <c r="H132" s="11"/>
      <c r="I132" s="11"/>
      <c r="J132" s="12">
        <f t="shared" si="12"/>
        <v>0</v>
      </c>
      <c r="K132" s="65">
        <f>IF(J132&gt;0,K131*1.5,)</f>
        <v>0</v>
      </c>
      <c r="L132" s="13">
        <f t="shared" si="13"/>
        <v>0</v>
      </c>
      <c r="M132" s="66" t="s">
        <v>56</v>
      </c>
      <c r="N132" s="67">
        <f>N131*0.08</f>
        <v>0</v>
      </c>
      <c r="O132" s="68"/>
      <c r="P132" s="69" t="str">
        <f>IF('Filtered Information'!$B$1&gt;=A131,"NO","YES")</f>
        <v>YES</v>
      </c>
    </row>
    <row r="133" spans="1:28" hidden="1">
      <c r="A133" s="64" t="str">
        <f>IFERROR(VLOOKUP(A131,'Filtered Information'!$A$3:$E$66,3,FALSE),"-")</f>
        <v>-</v>
      </c>
      <c r="B133" s="27" t="s">
        <v>57</v>
      </c>
      <c r="C133" s="11"/>
      <c r="D133" s="11"/>
      <c r="E133" s="11"/>
      <c r="F133" s="11"/>
      <c r="G133" s="11"/>
      <c r="H133" s="11"/>
      <c r="I133" s="11"/>
      <c r="J133" s="12">
        <f t="shared" si="12"/>
        <v>0</v>
      </c>
      <c r="K133" s="65">
        <f>IF(J133&gt;0,K131*2,)</f>
        <v>0</v>
      </c>
      <c r="L133" s="13">
        <f t="shared" si="13"/>
        <v>0</v>
      </c>
      <c r="M133" s="70" t="str">
        <f>IF(K131&gt;0,"TOTAL WAGE:",0)</f>
        <v>TOTAL WAGE:</v>
      </c>
      <c r="N133" s="71">
        <f>N131+N132</f>
        <v>0</v>
      </c>
      <c r="O133" s="48">
        <f>N133</f>
        <v>0</v>
      </c>
      <c r="P133" s="69" t="str">
        <f>IF('Filtered Information'!$B$1&gt;=A131,"NO","YES")</f>
        <v>YES</v>
      </c>
    </row>
    <row r="134" spans="1:28" hidden="1">
      <c r="A134" s="82" t="str">
        <f>IFERROR(VLOOKUP(A131,'Filtered Information'!$A$3:$E$64,5,FALSE),"-")</f>
        <v>-</v>
      </c>
      <c r="B134" s="27" t="s">
        <v>58</v>
      </c>
      <c r="C134" s="11"/>
      <c r="D134" s="11"/>
      <c r="E134" s="11"/>
      <c r="F134" s="11"/>
      <c r="G134" s="11"/>
      <c r="H134" s="11"/>
      <c r="I134" s="11"/>
      <c r="J134" s="12">
        <f t="shared" si="12"/>
        <v>0</v>
      </c>
      <c r="K134" s="65"/>
      <c r="L134" s="13">
        <f t="shared" si="13"/>
        <v>0</v>
      </c>
      <c r="M134" s="72"/>
      <c r="N134" s="73"/>
      <c r="P134" s="69" t="str">
        <f>IF('Filtered Information'!$B$1&gt;=A131,"NO","YES")</f>
        <v>YES</v>
      </c>
      <c r="R134" s="74"/>
      <c r="S134" s="75"/>
      <c r="T134" s="75"/>
      <c r="U134" s="75"/>
      <c r="V134" s="75"/>
    </row>
    <row r="135" spans="1:28" s="74" customFormat="1" ht="13.5" hidden="1" thickBot="1">
      <c r="A135" s="83"/>
      <c r="B135" s="46" t="s">
        <v>60</v>
      </c>
      <c r="C135" s="14"/>
      <c r="D135" s="14"/>
      <c r="E135" s="14"/>
      <c r="F135" s="14"/>
      <c r="G135" s="14"/>
      <c r="H135" s="14"/>
      <c r="I135" s="14"/>
      <c r="J135" s="15">
        <f t="shared" si="12"/>
        <v>0</v>
      </c>
      <c r="K135" s="77">
        <f>IF(J135&gt;0,K131,)</f>
        <v>0</v>
      </c>
      <c r="L135" s="16">
        <f t="shared" si="13"/>
        <v>0</v>
      </c>
      <c r="M135" s="78" t="str">
        <f>IF(K131&gt;0,"UNION 3.5%:",0)</f>
        <v>UNION 3.5%:</v>
      </c>
      <c r="N135" s="79">
        <f>N133*0.035</f>
        <v>0</v>
      </c>
      <c r="O135" s="75"/>
      <c r="P135" s="80" t="str">
        <f>IF('Filtered Information'!$B$1&gt;=A131,"NO","YES")</f>
        <v>YES</v>
      </c>
      <c r="R135" s="38"/>
      <c r="S135" s="48"/>
      <c r="T135" s="48"/>
      <c r="U135" s="48"/>
      <c r="V135" s="48"/>
      <c r="AA135" s="81"/>
      <c r="AB135" s="81"/>
    </row>
    <row r="136" spans="1:28" s="53" customFormat="1" ht="13.5" hidden="1" thickTop="1">
      <c r="A136" s="55">
        <f>A131+1</f>
        <v>26</v>
      </c>
      <c r="B136" s="56" t="s">
        <v>54</v>
      </c>
      <c r="C136" s="8"/>
      <c r="D136" s="8"/>
      <c r="E136" s="8"/>
      <c r="F136" s="8"/>
      <c r="G136" s="8"/>
      <c r="H136" s="8"/>
      <c r="I136" s="8"/>
      <c r="J136" s="9">
        <f t="shared" si="12"/>
        <v>0</v>
      </c>
      <c r="K136" s="57" t="str">
        <f>IFERROR(VLOOKUP(A136,'Filtered Information'!$A$3:$D$64,2,FALSE),"0")</f>
        <v>0</v>
      </c>
      <c r="L136" s="10">
        <f t="shared" si="13"/>
        <v>0</v>
      </c>
      <c r="M136" s="58" t="str">
        <f>IF(K136&gt;0,"SUBTOTAL:",0)</f>
        <v>SUBTOTAL:</v>
      </c>
      <c r="N136" s="59">
        <f>SUM(L136:L140)</f>
        <v>0</v>
      </c>
      <c r="O136" s="60"/>
      <c r="P136" s="61" t="str">
        <f>IF('Filtered Information'!$B$1&gt;=A136,"NO","YES")</f>
        <v>YES</v>
      </c>
      <c r="Q136" s="62"/>
      <c r="R136" s="38"/>
      <c r="S136" s="48"/>
      <c r="T136" s="48"/>
      <c r="U136" s="48"/>
      <c r="V136" s="48"/>
      <c r="AA136" s="63"/>
      <c r="AB136" s="63"/>
    </row>
    <row r="137" spans="1:28" hidden="1">
      <c r="A137" s="64" t="str">
        <f>IFERROR(VLOOKUP(A136,'Filtered Information'!$A$3:$E$66,4,FALSE),"-")</f>
        <v>-</v>
      </c>
      <c r="B137" s="27" t="s">
        <v>55</v>
      </c>
      <c r="C137" s="11"/>
      <c r="D137" s="11"/>
      <c r="E137" s="11"/>
      <c r="F137" s="11"/>
      <c r="G137" s="11"/>
      <c r="H137" s="11"/>
      <c r="I137" s="11"/>
      <c r="J137" s="12">
        <f t="shared" si="12"/>
        <v>0</v>
      </c>
      <c r="K137" s="65">
        <f>IF(J137&gt;0,K136*1.5,)</f>
        <v>0</v>
      </c>
      <c r="L137" s="13">
        <f t="shared" si="13"/>
        <v>0</v>
      </c>
      <c r="M137" s="66" t="s">
        <v>56</v>
      </c>
      <c r="N137" s="67">
        <f>N136*0.08</f>
        <v>0</v>
      </c>
      <c r="O137" s="68"/>
      <c r="P137" s="69" t="str">
        <f>IF('Filtered Information'!$B$1&gt;=A136,"NO","YES")</f>
        <v>YES</v>
      </c>
    </row>
    <row r="138" spans="1:28" hidden="1">
      <c r="A138" s="64" t="str">
        <f>IFERROR(VLOOKUP(A136,'Filtered Information'!$A$3:$E$66,3,FALSE),"-")</f>
        <v>-</v>
      </c>
      <c r="B138" s="27" t="s">
        <v>57</v>
      </c>
      <c r="C138" s="11"/>
      <c r="D138" s="11"/>
      <c r="E138" s="11"/>
      <c r="F138" s="11"/>
      <c r="G138" s="11"/>
      <c r="H138" s="11"/>
      <c r="I138" s="11"/>
      <c r="J138" s="12">
        <f t="shared" si="12"/>
        <v>0</v>
      </c>
      <c r="K138" s="65">
        <f>IF(J138&gt;0,K136*2,)</f>
        <v>0</v>
      </c>
      <c r="L138" s="13">
        <f t="shared" si="13"/>
        <v>0</v>
      </c>
      <c r="M138" s="70" t="str">
        <f>IF(K136&gt;0,"TOTAL WAGE:",0)</f>
        <v>TOTAL WAGE:</v>
      </c>
      <c r="N138" s="71">
        <f>N136+N137</f>
        <v>0</v>
      </c>
      <c r="O138" s="48">
        <f>N138</f>
        <v>0</v>
      </c>
      <c r="P138" s="69" t="str">
        <f>IF('Filtered Information'!$B$1&gt;=A136,"NO","YES")</f>
        <v>YES</v>
      </c>
    </row>
    <row r="139" spans="1:28" hidden="1">
      <c r="A139" s="82" t="str">
        <f>IFERROR(VLOOKUP(A136,'Filtered Information'!$A$3:$E$64,5,FALSE),"-")</f>
        <v>-</v>
      </c>
      <c r="B139" s="27" t="s">
        <v>58</v>
      </c>
      <c r="C139" s="11"/>
      <c r="D139" s="11"/>
      <c r="E139" s="11"/>
      <c r="F139" s="11"/>
      <c r="G139" s="11"/>
      <c r="H139" s="11"/>
      <c r="I139" s="11"/>
      <c r="J139" s="12">
        <f t="shared" si="12"/>
        <v>0</v>
      </c>
      <c r="K139" s="65"/>
      <c r="L139" s="13">
        <f t="shared" si="13"/>
        <v>0</v>
      </c>
      <c r="M139" s="72"/>
      <c r="N139" s="73"/>
      <c r="P139" s="69" t="str">
        <f>IF('Filtered Information'!$B$1&gt;=A136,"NO","YES")</f>
        <v>YES</v>
      </c>
      <c r="R139" s="74"/>
      <c r="S139" s="75"/>
      <c r="T139" s="75"/>
      <c r="U139" s="75"/>
      <c r="V139" s="75"/>
    </row>
    <row r="140" spans="1:28" s="74" customFormat="1" ht="13.5" hidden="1" thickBot="1">
      <c r="A140" s="83"/>
      <c r="B140" s="46" t="s">
        <v>60</v>
      </c>
      <c r="C140" s="14"/>
      <c r="D140" s="14"/>
      <c r="E140" s="14"/>
      <c r="F140" s="14"/>
      <c r="G140" s="14"/>
      <c r="H140" s="14"/>
      <c r="I140" s="14"/>
      <c r="J140" s="15">
        <f t="shared" si="12"/>
        <v>0</v>
      </c>
      <c r="K140" s="77">
        <f>IF(J140&gt;0,K136,)</f>
        <v>0</v>
      </c>
      <c r="L140" s="16">
        <f t="shared" si="13"/>
        <v>0</v>
      </c>
      <c r="M140" s="78" t="str">
        <f>IF(K136&gt;0,"UNION 3.5%:",0)</f>
        <v>UNION 3.5%:</v>
      </c>
      <c r="N140" s="79">
        <f>N138*0.035</f>
        <v>0</v>
      </c>
      <c r="O140" s="75"/>
      <c r="P140" s="80" t="str">
        <f>IF('Filtered Information'!$B$1&gt;=A136,"NO","YES")</f>
        <v>YES</v>
      </c>
      <c r="R140" s="38"/>
      <c r="S140" s="48"/>
      <c r="T140" s="48"/>
      <c r="U140" s="48"/>
      <c r="V140" s="48"/>
      <c r="AA140" s="81"/>
      <c r="AB140" s="81"/>
    </row>
    <row r="141" spans="1:28" s="53" customFormat="1" ht="13.5" hidden="1" thickTop="1">
      <c r="A141" s="55">
        <f>A136+1</f>
        <v>27</v>
      </c>
      <c r="B141" s="56" t="s">
        <v>54</v>
      </c>
      <c r="C141" s="8"/>
      <c r="D141" s="8"/>
      <c r="E141" s="8"/>
      <c r="F141" s="8"/>
      <c r="G141" s="8"/>
      <c r="H141" s="8"/>
      <c r="I141" s="8"/>
      <c r="J141" s="9">
        <f t="shared" si="12"/>
        <v>0</v>
      </c>
      <c r="K141" s="57" t="str">
        <f>IFERROR(VLOOKUP(A141,'Filtered Information'!$A$3:$D$64,2,FALSE),"0")</f>
        <v>0</v>
      </c>
      <c r="L141" s="10">
        <f t="shared" si="13"/>
        <v>0</v>
      </c>
      <c r="M141" s="58" t="str">
        <f>IF(K141&gt;0,"SUBTOTAL:",0)</f>
        <v>SUBTOTAL:</v>
      </c>
      <c r="N141" s="59">
        <f>SUM(L141:L145)</f>
        <v>0</v>
      </c>
      <c r="O141" s="60"/>
      <c r="P141" s="61" t="str">
        <f>IF('Filtered Information'!$B$1&gt;=A141,"NO","YES")</f>
        <v>YES</v>
      </c>
      <c r="Q141" s="62"/>
      <c r="R141" s="38"/>
      <c r="S141" s="48"/>
      <c r="T141" s="48"/>
      <c r="U141" s="48"/>
      <c r="V141" s="48"/>
      <c r="AA141" s="63"/>
      <c r="AB141" s="63"/>
    </row>
    <row r="142" spans="1:28" hidden="1">
      <c r="A142" s="64" t="str">
        <f>IFERROR(VLOOKUP(A141,'Filtered Information'!$A$3:$E$66,4,FALSE),"-")</f>
        <v>-</v>
      </c>
      <c r="B142" s="27" t="s">
        <v>55</v>
      </c>
      <c r="C142" s="11"/>
      <c r="D142" s="11"/>
      <c r="E142" s="11"/>
      <c r="F142" s="11"/>
      <c r="G142" s="11"/>
      <c r="H142" s="11"/>
      <c r="I142" s="11"/>
      <c r="J142" s="12">
        <f t="shared" si="12"/>
        <v>0</v>
      </c>
      <c r="K142" s="65">
        <f>IF(J142&gt;0,K141*1.5,)</f>
        <v>0</v>
      </c>
      <c r="L142" s="13">
        <f t="shared" si="13"/>
        <v>0</v>
      </c>
      <c r="M142" s="66" t="s">
        <v>56</v>
      </c>
      <c r="N142" s="67">
        <f>N141*0.08</f>
        <v>0</v>
      </c>
      <c r="O142" s="68"/>
      <c r="P142" s="69" t="str">
        <f>IF('Filtered Information'!$B$1&gt;=A141,"NO","YES")</f>
        <v>YES</v>
      </c>
    </row>
    <row r="143" spans="1:28" hidden="1">
      <c r="A143" s="64" t="str">
        <f>IFERROR(VLOOKUP(A141,'Filtered Information'!$A$3:$E$66,3,FALSE),"-")</f>
        <v>-</v>
      </c>
      <c r="B143" s="27" t="s">
        <v>57</v>
      </c>
      <c r="C143" s="11"/>
      <c r="D143" s="11"/>
      <c r="E143" s="11"/>
      <c r="F143" s="11"/>
      <c r="G143" s="11"/>
      <c r="H143" s="11"/>
      <c r="I143" s="11"/>
      <c r="J143" s="12">
        <f t="shared" si="12"/>
        <v>0</v>
      </c>
      <c r="K143" s="65">
        <f>IF(J143&gt;0,K141*2,)</f>
        <v>0</v>
      </c>
      <c r="L143" s="13">
        <f t="shared" si="13"/>
        <v>0</v>
      </c>
      <c r="M143" s="70" t="str">
        <f>IF(K141&gt;0,"TOTAL WAGE:",0)</f>
        <v>TOTAL WAGE:</v>
      </c>
      <c r="N143" s="71">
        <f>N141+N142</f>
        <v>0</v>
      </c>
      <c r="O143" s="48">
        <f>N143</f>
        <v>0</v>
      </c>
      <c r="P143" s="69" t="str">
        <f>IF('Filtered Information'!$B$1&gt;=A141,"NO","YES")</f>
        <v>YES</v>
      </c>
    </row>
    <row r="144" spans="1:28" hidden="1">
      <c r="A144" s="82" t="str">
        <f>IFERROR(VLOOKUP(A141,'Filtered Information'!$A$3:$E$64,5,FALSE),"-")</f>
        <v>-</v>
      </c>
      <c r="B144" s="27" t="s">
        <v>58</v>
      </c>
      <c r="C144" s="11"/>
      <c r="D144" s="11"/>
      <c r="E144" s="11"/>
      <c r="F144" s="11"/>
      <c r="G144" s="11"/>
      <c r="H144" s="11"/>
      <c r="I144" s="11"/>
      <c r="J144" s="12">
        <f t="shared" si="12"/>
        <v>0</v>
      </c>
      <c r="K144" s="65"/>
      <c r="L144" s="13">
        <f t="shared" si="13"/>
        <v>0</v>
      </c>
      <c r="M144" s="72"/>
      <c r="N144" s="73"/>
      <c r="P144" s="69" t="str">
        <f>IF('Filtered Information'!$B$1&gt;=A141,"NO","YES")</f>
        <v>YES</v>
      </c>
      <c r="R144" s="74"/>
      <c r="S144" s="75"/>
      <c r="T144" s="75"/>
      <c r="U144" s="75"/>
      <c r="V144" s="75"/>
    </row>
    <row r="145" spans="1:28" s="74" customFormat="1" ht="13.5" hidden="1" thickBot="1">
      <c r="A145" s="83"/>
      <c r="B145" s="46" t="s">
        <v>60</v>
      </c>
      <c r="C145" s="14"/>
      <c r="D145" s="14"/>
      <c r="E145" s="14"/>
      <c r="F145" s="14"/>
      <c r="G145" s="14"/>
      <c r="H145" s="14"/>
      <c r="I145" s="14"/>
      <c r="J145" s="15">
        <f t="shared" si="12"/>
        <v>0</v>
      </c>
      <c r="K145" s="77">
        <f>IF(J145&gt;0,K141,)</f>
        <v>0</v>
      </c>
      <c r="L145" s="16">
        <f t="shared" si="13"/>
        <v>0</v>
      </c>
      <c r="M145" s="78" t="str">
        <f>IF(K141&gt;0,"UNION 3.5%:",0)</f>
        <v>UNION 3.5%:</v>
      </c>
      <c r="N145" s="79">
        <f>N143*0.035</f>
        <v>0</v>
      </c>
      <c r="O145" s="75"/>
      <c r="P145" s="80" t="str">
        <f>IF('Filtered Information'!$B$1&gt;=A141,"NO","YES")</f>
        <v>YES</v>
      </c>
      <c r="R145" s="38"/>
      <c r="S145" s="48"/>
      <c r="T145" s="48"/>
      <c r="U145" s="48"/>
      <c r="V145" s="48"/>
      <c r="AA145" s="81"/>
      <c r="AB145" s="81"/>
    </row>
    <row r="146" spans="1:28" s="53" customFormat="1" ht="13.5" hidden="1" thickTop="1">
      <c r="A146" s="55">
        <f>A141+1</f>
        <v>28</v>
      </c>
      <c r="B146" s="56" t="s">
        <v>54</v>
      </c>
      <c r="C146" s="8"/>
      <c r="D146" s="8"/>
      <c r="E146" s="8"/>
      <c r="F146" s="8"/>
      <c r="G146" s="8"/>
      <c r="H146" s="8"/>
      <c r="I146" s="8"/>
      <c r="J146" s="9">
        <f t="shared" si="12"/>
        <v>0</v>
      </c>
      <c r="K146" s="57" t="str">
        <f>IFERROR(VLOOKUP(A146,'Filtered Information'!$A$3:$D$64,2,FALSE),"0")</f>
        <v>0</v>
      </c>
      <c r="L146" s="10">
        <f t="shared" si="13"/>
        <v>0</v>
      </c>
      <c r="M146" s="58" t="str">
        <f>IF(K146&gt;0,"SUBTOTAL:",0)</f>
        <v>SUBTOTAL:</v>
      </c>
      <c r="N146" s="59">
        <f>SUM(L146:L150)</f>
        <v>0</v>
      </c>
      <c r="O146" s="60"/>
      <c r="P146" s="61" t="str">
        <f>IF('Filtered Information'!$B$1&gt;=A146,"NO","YES")</f>
        <v>YES</v>
      </c>
      <c r="Q146" s="62"/>
      <c r="R146" s="38"/>
      <c r="S146" s="48"/>
      <c r="T146" s="48"/>
      <c r="U146" s="48"/>
      <c r="V146" s="48"/>
      <c r="AA146" s="63"/>
      <c r="AB146" s="63"/>
    </row>
    <row r="147" spans="1:28" hidden="1">
      <c r="A147" s="64" t="str">
        <f>IFERROR(VLOOKUP(A146,'Filtered Information'!$A$3:$E$66,4,FALSE),"-")</f>
        <v>-</v>
      </c>
      <c r="B147" s="27" t="s">
        <v>55</v>
      </c>
      <c r="C147" s="11"/>
      <c r="D147" s="11"/>
      <c r="E147" s="11"/>
      <c r="F147" s="11"/>
      <c r="G147" s="11"/>
      <c r="H147" s="11"/>
      <c r="I147" s="11"/>
      <c r="J147" s="12">
        <f t="shared" si="12"/>
        <v>0</v>
      </c>
      <c r="K147" s="65">
        <f>IF(J147&gt;0,K146*1.5,)</f>
        <v>0</v>
      </c>
      <c r="L147" s="13">
        <f t="shared" si="13"/>
        <v>0</v>
      </c>
      <c r="M147" s="66" t="s">
        <v>56</v>
      </c>
      <c r="N147" s="67">
        <f>N146*0.08</f>
        <v>0</v>
      </c>
      <c r="O147" s="68"/>
      <c r="P147" s="69" t="str">
        <f>IF('Filtered Information'!$B$1&gt;=A146,"NO","YES")</f>
        <v>YES</v>
      </c>
    </row>
    <row r="148" spans="1:28" hidden="1">
      <c r="A148" s="64" t="str">
        <f>IFERROR(VLOOKUP(A146,'Filtered Information'!$A$3:$E$66,3,FALSE),"-")</f>
        <v>-</v>
      </c>
      <c r="B148" s="27" t="s">
        <v>57</v>
      </c>
      <c r="C148" s="11"/>
      <c r="D148" s="11"/>
      <c r="E148" s="11"/>
      <c r="F148" s="11"/>
      <c r="G148" s="11"/>
      <c r="H148" s="11"/>
      <c r="I148" s="11"/>
      <c r="J148" s="12">
        <f t="shared" si="12"/>
        <v>0</v>
      </c>
      <c r="K148" s="65">
        <f>IF(J148&gt;0,K146*2,)</f>
        <v>0</v>
      </c>
      <c r="L148" s="13">
        <f t="shared" si="13"/>
        <v>0</v>
      </c>
      <c r="M148" s="70" t="str">
        <f>IF(K146&gt;0,"TOTAL WAGE:",0)</f>
        <v>TOTAL WAGE:</v>
      </c>
      <c r="N148" s="71">
        <f>N146+N147</f>
        <v>0</v>
      </c>
      <c r="O148" s="48">
        <f>N148</f>
        <v>0</v>
      </c>
      <c r="P148" s="69" t="str">
        <f>IF('Filtered Information'!$B$1&gt;=A146,"NO","YES")</f>
        <v>YES</v>
      </c>
    </row>
    <row r="149" spans="1:28" hidden="1">
      <c r="A149" s="82" t="str">
        <f>IFERROR(VLOOKUP(A146,'Filtered Information'!$A$3:$E$64,5,FALSE),"-")</f>
        <v>-</v>
      </c>
      <c r="B149" s="27" t="s">
        <v>58</v>
      </c>
      <c r="C149" s="11"/>
      <c r="D149" s="11"/>
      <c r="E149" s="11"/>
      <c r="F149" s="11"/>
      <c r="G149" s="11"/>
      <c r="H149" s="11"/>
      <c r="I149" s="11"/>
      <c r="J149" s="12">
        <f t="shared" si="12"/>
        <v>0</v>
      </c>
      <c r="K149" s="65"/>
      <c r="L149" s="13">
        <f t="shared" si="13"/>
        <v>0</v>
      </c>
      <c r="M149" s="72"/>
      <c r="N149" s="73"/>
      <c r="P149" s="69" t="str">
        <f>IF('Filtered Information'!$B$1&gt;=A146,"NO","YES")</f>
        <v>YES</v>
      </c>
      <c r="R149" s="74"/>
      <c r="S149" s="75"/>
      <c r="T149" s="75"/>
      <c r="U149" s="75"/>
      <c r="V149" s="75"/>
    </row>
    <row r="150" spans="1:28" s="74" customFormat="1" ht="13.5" hidden="1" thickBot="1">
      <c r="A150" s="83"/>
      <c r="B150" s="46" t="s">
        <v>60</v>
      </c>
      <c r="C150" s="14"/>
      <c r="D150" s="14"/>
      <c r="E150" s="14"/>
      <c r="F150" s="14"/>
      <c r="G150" s="14"/>
      <c r="H150" s="14"/>
      <c r="I150" s="14"/>
      <c r="J150" s="15">
        <f t="shared" si="12"/>
        <v>0</v>
      </c>
      <c r="K150" s="77">
        <f>IF(J150&gt;0,K146,)</f>
        <v>0</v>
      </c>
      <c r="L150" s="16">
        <f t="shared" si="13"/>
        <v>0</v>
      </c>
      <c r="M150" s="78" t="str">
        <f>IF(K146&gt;0,"UNION 3.5%:",0)</f>
        <v>UNION 3.5%:</v>
      </c>
      <c r="N150" s="79">
        <f>N148*0.035</f>
        <v>0</v>
      </c>
      <c r="O150" s="75"/>
      <c r="P150" s="80" t="str">
        <f>IF('Filtered Information'!$B$1&gt;=A146,"NO","YES")</f>
        <v>YES</v>
      </c>
      <c r="R150" s="38"/>
      <c r="S150" s="48"/>
      <c r="T150" s="48"/>
      <c r="U150" s="48"/>
      <c r="V150" s="48"/>
      <c r="AA150" s="81"/>
      <c r="AB150" s="81"/>
    </row>
    <row r="151" spans="1:28" s="53" customFormat="1" ht="13.5" hidden="1" thickTop="1">
      <c r="A151" s="55">
        <f>A146+1</f>
        <v>29</v>
      </c>
      <c r="B151" s="56" t="s">
        <v>54</v>
      </c>
      <c r="C151" s="8"/>
      <c r="D151" s="8"/>
      <c r="E151" s="8"/>
      <c r="F151" s="8"/>
      <c r="G151" s="8"/>
      <c r="H151" s="8"/>
      <c r="I151" s="8"/>
      <c r="J151" s="9">
        <f t="shared" si="12"/>
        <v>0</v>
      </c>
      <c r="K151" s="57" t="str">
        <f>IFERROR(VLOOKUP(A151,'Filtered Information'!$A$3:$D$64,2,FALSE),"0")</f>
        <v>0</v>
      </c>
      <c r="L151" s="10">
        <f t="shared" si="13"/>
        <v>0</v>
      </c>
      <c r="M151" s="58" t="str">
        <f>IF(K151&gt;0,"SUBTOTAL:",0)</f>
        <v>SUBTOTAL:</v>
      </c>
      <c r="N151" s="59">
        <f>SUM(L151:L155)</f>
        <v>0</v>
      </c>
      <c r="O151" s="60"/>
      <c r="P151" s="61" t="str">
        <f>IF('Filtered Information'!$B$1&gt;=A151,"NO","YES")</f>
        <v>YES</v>
      </c>
      <c r="Q151" s="62"/>
      <c r="R151" s="38"/>
      <c r="S151" s="48"/>
      <c r="T151" s="48"/>
      <c r="U151" s="48"/>
      <c r="V151" s="48"/>
      <c r="AA151" s="63"/>
      <c r="AB151" s="63"/>
    </row>
    <row r="152" spans="1:28" hidden="1">
      <c r="A152" s="64" t="str">
        <f>IFERROR(VLOOKUP(A151,'Filtered Information'!$A$3:$E$66,4,FALSE),"-")</f>
        <v>-</v>
      </c>
      <c r="B152" s="27" t="s">
        <v>55</v>
      </c>
      <c r="C152" s="11"/>
      <c r="D152" s="11"/>
      <c r="E152" s="11"/>
      <c r="F152" s="11"/>
      <c r="G152" s="11"/>
      <c r="H152" s="11"/>
      <c r="I152" s="11"/>
      <c r="J152" s="12">
        <f t="shared" si="12"/>
        <v>0</v>
      </c>
      <c r="K152" s="65">
        <f>IF(J152&gt;0,K151*1.5,)</f>
        <v>0</v>
      </c>
      <c r="L152" s="13">
        <f t="shared" si="13"/>
        <v>0</v>
      </c>
      <c r="M152" s="66" t="s">
        <v>56</v>
      </c>
      <c r="N152" s="67">
        <f>N151*0.08</f>
        <v>0</v>
      </c>
      <c r="O152" s="68"/>
      <c r="P152" s="69" t="str">
        <f>IF('Filtered Information'!$B$1&gt;=A151,"NO","YES")</f>
        <v>YES</v>
      </c>
    </row>
    <row r="153" spans="1:28" hidden="1">
      <c r="A153" s="64" t="str">
        <f>IFERROR(VLOOKUP(A151,'Filtered Information'!$A$3:$E$66,3,FALSE),"-")</f>
        <v>-</v>
      </c>
      <c r="B153" s="27" t="s">
        <v>57</v>
      </c>
      <c r="C153" s="11"/>
      <c r="D153" s="11"/>
      <c r="E153" s="11"/>
      <c r="F153" s="11"/>
      <c r="G153" s="11"/>
      <c r="H153" s="11"/>
      <c r="I153" s="11"/>
      <c r="J153" s="12">
        <f t="shared" ref="J153:J184" si="14">SUM(C153:I153)</f>
        <v>0</v>
      </c>
      <c r="K153" s="65">
        <f>IF(J153&gt;0,K151*2,)</f>
        <v>0</v>
      </c>
      <c r="L153" s="13">
        <f t="shared" ref="L153:L184" si="15">J153*K153</f>
        <v>0</v>
      </c>
      <c r="M153" s="70" t="str">
        <f>IF(K151&gt;0,"TOTAL WAGE:",0)</f>
        <v>TOTAL WAGE:</v>
      </c>
      <c r="N153" s="71">
        <f>N151+N152</f>
        <v>0</v>
      </c>
      <c r="O153" s="48">
        <f>N153</f>
        <v>0</v>
      </c>
      <c r="P153" s="69" t="str">
        <f>IF('Filtered Information'!$B$1&gt;=A151,"NO","YES")</f>
        <v>YES</v>
      </c>
    </row>
    <row r="154" spans="1:28" hidden="1">
      <c r="A154" s="82" t="str">
        <f>IFERROR(VLOOKUP(A151,'Filtered Information'!$A$3:$E$64,5,FALSE),"-")</f>
        <v>-</v>
      </c>
      <c r="B154" s="27" t="s">
        <v>58</v>
      </c>
      <c r="C154" s="11"/>
      <c r="D154" s="11"/>
      <c r="E154" s="11"/>
      <c r="F154" s="11"/>
      <c r="G154" s="11"/>
      <c r="H154" s="11"/>
      <c r="I154" s="11"/>
      <c r="J154" s="12">
        <f t="shared" si="14"/>
        <v>0</v>
      </c>
      <c r="K154" s="65"/>
      <c r="L154" s="13">
        <f t="shared" si="15"/>
        <v>0</v>
      </c>
      <c r="M154" s="72"/>
      <c r="N154" s="73"/>
      <c r="P154" s="69" t="str">
        <f>IF('Filtered Information'!$B$1&gt;=A151,"NO","YES")</f>
        <v>YES</v>
      </c>
      <c r="R154" s="74"/>
      <c r="S154" s="75"/>
      <c r="T154" s="75"/>
      <c r="U154" s="75"/>
      <c r="V154" s="75"/>
    </row>
    <row r="155" spans="1:28" s="74" customFormat="1" ht="13.5" hidden="1" thickBot="1">
      <c r="A155" s="83"/>
      <c r="B155" s="46" t="s">
        <v>60</v>
      </c>
      <c r="C155" s="14"/>
      <c r="D155" s="14"/>
      <c r="E155" s="14"/>
      <c r="F155" s="14"/>
      <c r="G155" s="14"/>
      <c r="H155" s="14"/>
      <c r="I155" s="14"/>
      <c r="J155" s="15">
        <f t="shared" si="14"/>
        <v>0</v>
      </c>
      <c r="K155" s="77">
        <f>IF(J155&gt;0,K151,)</f>
        <v>0</v>
      </c>
      <c r="L155" s="16">
        <f t="shared" si="15"/>
        <v>0</v>
      </c>
      <c r="M155" s="78" t="str">
        <f>IF(K151&gt;0,"UNION 3.5%:",0)</f>
        <v>UNION 3.5%:</v>
      </c>
      <c r="N155" s="79">
        <f>N153*0.035</f>
        <v>0</v>
      </c>
      <c r="O155" s="75"/>
      <c r="P155" s="80" t="str">
        <f>IF('Filtered Information'!$B$1&gt;=A151,"NO","YES")</f>
        <v>YES</v>
      </c>
      <c r="R155" s="38"/>
      <c r="S155" s="48"/>
      <c r="T155" s="48"/>
      <c r="U155" s="48"/>
      <c r="V155" s="48"/>
      <c r="AA155" s="81"/>
      <c r="AB155" s="81"/>
    </row>
    <row r="156" spans="1:28" s="53" customFormat="1" ht="13.5" hidden="1" thickTop="1">
      <c r="A156" s="55">
        <f>A151+1</f>
        <v>30</v>
      </c>
      <c r="B156" s="56" t="s">
        <v>54</v>
      </c>
      <c r="C156" s="8"/>
      <c r="D156" s="8"/>
      <c r="E156" s="8"/>
      <c r="F156" s="8"/>
      <c r="G156" s="8"/>
      <c r="H156" s="8"/>
      <c r="I156" s="8"/>
      <c r="J156" s="9">
        <f t="shared" si="14"/>
        <v>0</v>
      </c>
      <c r="K156" s="57" t="str">
        <f>IFERROR(VLOOKUP(A156,'Filtered Information'!$A$3:$D$64,2,FALSE),"0")</f>
        <v>0</v>
      </c>
      <c r="L156" s="10">
        <f t="shared" si="15"/>
        <v>0</v>
      </c>
      <c r="M156" s="58" t="str">
        <f>IF(K156&gt;0,"SUBTOTAL:",0)</f>
        <v>SUBTOTAL:</v>
      </c>
      <c r="N156" s="59">
        <f>SUM(L156:L160)</f>
        <v>0</v>
      </c>
      <c r="O156" s="60"/>
      <c r="P156" s="61" t="str">
        <f>IF('Filtered Information'!$B$1&gt;=A156,"NO","YES")</f>
        <v>YES</v>
      </c>
      <c r="Q156" s="62"/>
      <c r="R156" s="38"/>
      <c r="S156" s="48"/>
      <c r="T156" s="48"/>
      <c r="U156" s="48"/>
      <c r="V156" s="48"/>
      <c r="AA156" s="63"/>
      <c r="AB156" s="63"/>
    </row>
    <row r="157" spans="1:28" hidden="1">
      <c r="A157" s="64" t="str">
        <f>IFERROR(VLOOKUP(A156,'Filtered Information'!$A$3:$E$66,4,FALSE),"-")</f>
        <v>-</v>
      </c>
      <c r="B157" s="27" t="s">
        <v>55</v>
      </c>
      <c r="C157" s="11"/>
      <c r="D157" s="11"/>
      <c r="E157" s="11"/>
      <c r="F157" s="11"/>
      <c r="G157" s="11"/>
      <c r="H157" s="11"/>
      <c r="I157" s="11"/>
      <c r="J157" s="12">
        <f t="shared" si="14"/>
        <v>0</v>
      </c>
      <c r="K157" s="65">
        <f>IF(J157&gt;0,K156*1.5,)</f>
        <v>0</v>
      </c>
      <c r="L157" s="13">
        <f t="shared" si="15"/>
        <v>0</v>
      </c>
      <c r="M157" s="66" t="s">
        <v>56</v>
      </c>
      <c r="N157" s="67">
        <f>N156*0.08</f>
        <v>0</v>
      </c>
      <c r="O157" s="68"/>
      <c r="P157" s="69" t="str">
        <f>IF('Filtered Information'!$B$1&gt;=A156,"NO","YES")</f>
        <v>YES</v>
      </c>
    </row>
    <row r="158" spans="1:28" hidden="1">
      <c r="A158" s="64" t="str">
        <f>IFERROR(VLOOKUP(A156,'Filtered Information'!$A$3:$E$66,3,FALSE),"-")</f>
        <v>-</v>
      </c>
      <c r="B158" s="27" t="s">
        <v>57</v>
      </c>
      <c r="C158" s="11"/>
      <c r="D158" s="11"/>
      <c r="E158" s="11"/>
      <c r="F158" s="11"/>
      <c r="G158" s="11"/>
      <c r="H158" s="11"/>
      <c r="I158" s="11"/>
      <c r="J158" s="12">
        <f t="shared" si="14"/>
        <v>0</v>
      </c>
      <c r="K158" s="65">
        <f>IF(J158&gt;0,K156*2,)</f>
        <v>0</v>
      </c>
      <c r="L158" s="13">
        <f t="shared" si="15"/>
        <v>0</v>
      </c>
      <c r="M158" s="70" t="str">
        <f>IF(K156&gt;0,"TOTAL WAGE:",0)</f>
        <v>TOTAL WAGE:</v>
      </c>
      <c r="N158" s="71">
        <f>N156+N157</f>
        <v>0</v>
      </c>
      <c r="O158" s="48">
        <f>N158</f>
        <v>0</v>
      </c>
      <c r="P158" s="69" t="str">
        <f>IF('Filtered Information'!$B$1&gt;=A156,"NO","YES")</f>
        <v>YES</v>
      </c>
    </row>
    <row r="159" spans="1:28" hidden="1">
      <c r="A159" s="82" t="str">
        <f>IFERROR(VLOOKUP(A156,'Filtered Information'!$A$3:$E$64,5,FALSE),"-")</f>
        <v>-</v>
      </c>
      <c r="B159" s="27" t="s">
        <v>58</v>
      </c>
      <c r="C159" s="11"/>
      <c r="D159" s="11"/>
      <c r="E159" s="11"/>
      <c r="F159" s="11"/>
      <c r="G159" s="11"/>
      <c r="H159" s="11"/>
      <c r="I159" s="11"/>
      <c r="J159" s="12">
        <f t="shared" si="14"/>
        <v>0</v>
      </c>
      <c r="K159" s="65"/>
      <c r="L159" s="13">
        <f t="shared" si="15"/>
        <v>0</v>
      </c>
      <c r="M159" s="72"/>
      <c r="N159" s="73"/>
      <c r="P159" s="69" t="str">
        <f>IF('Filtered Information'!$B$1&gt;=A156,"NO","YES")</f>
        <v>YES</v>
      </c>
      <c r="R159" s="74"/>
      <c r="S159" s="75"/>
      <c r="T159" s="75"/>
      <c r="U159" s="75"/>
      <c r="V159" s="75"/>
    </row>
    <row r="160" spans="1:28" s="74" customFormat="1" ht="13.5" hidden="1" thickBot="1">
      <c r="A160" s="83"/>
      <c r="B160" s="46" t="s">
        <v>60</v>
      </c>
      <c r="C160" s="14"/>
      <c r="D160" s="14"/>
      <c r="E160" s="14"/>
      <c r="F160" s="14"/>
      <c r="G160" s="14"/>
      <c r="H160" s="14"/>
      <c r="I160" s="14"/>
      <c r="J160" s="15">
        <f t="shared" si="14"/>
        <v>0</v>
      </c>
      <c r="K160" s="77">
        <f>IF(J160&gt;0,K156,)</f>
        <v>0</v>
      </c>
      <c r="L160" s="16">
        <f t="shared" si="15"/>
        <v>0</v>
      </c>
      <c r="M160" s="78" t="str">
        <f>IF(K156&gt;0,"UNION 3.5%:",0)</f>
        <v>UNION 3.5%:</v>
      </c>
      <c r="N160" s="79">
        <f>N158*0.035</f>
        <v>0</v>
      </c>
      <c r="O160" s="75"/>
      <c r="P160" s="80" t="str">
        <f>IF('Filtered Information'!$B$1&gt;=A156,"NO","YES")</f>
        <v>YES</v>
      </c>
      <c r="R160" s="38"/>
      <c r="S160" s="48"/>
      <c r="T160" s="48"/>
      <c r="U160" s="48"/>
      <c r="V160" s="48"/>
      <c r="AA160" s="81"/>
      <c r="AB160" s="81"/>
    </row>
    <row r="161" spans="1:28" s="53" customFormat="1" ht="13.5" hidden="1" thickTop="1">
      <c r="A161" s="55">
        <f>A156+1</f>
        <v>31</v>
      </c>
      <c r="B161" s="56" t="s">
        <v>54</v>
      </c>
      <c r="C161" s="8"/>
      <c r="D161" s="8"/>
      <c r="E161" s="8"/>
      <c r="F161" s="8"/>
      <c r="G161" s="8"/>
      <c r="H161" s="8"/>
      <c r="I161" s="8"/>
      <c r="J161" s="9">
        <f t="shared" si="14"/>
        <v>0</v>
      </c>
      <c r="K161" s="57" t="str">
        <f>IFERROR(VLOOKUP(A161,'Filtered Information'!$A$3:$D$64,2,FALSE),"0")</f>
        <v>0</v>
      </c>
      <c r="L161" s="10">
        <f t="shared" si="15"/>
        <v>0</v>
      </c>
      <c r="M161" s="58" t="str">
        <f>IF(K161&gt;0,"SUBTOTAL:",0)</f>
        <v>SUBTOTAL:</v>
      </c>
      <c r="N161" s="59">
        <f>SUM(L161:L165)</f>
        <v>0</v>
      </c>
      <c r="O161" s="60"/>
      <c r="P161" s="61" t="str">
        <f>IF('Filtered Information'!$B$1&gt;=A161,"NO","YES")</f>
        <v>YES</v>
      </c>
      <c r="Q161" s="62"/>
      <c r="R161" s="38"/>
      <c r="S161" s="48"/>
      <c r="T161" s="48"/>
      <c r="U161" s="48"/>
      <c r="V161" s="48"/>
      <c r="AA161" s="63"/>
      <c r="AB161" s="63"/>
    </row>
    <row r="162" spans="1:28" hidden="1">
      <c r="A162" s="64" t="str">
        <f>IFERROR(VLOOKUP(A161,'Filtered Information'!$A$3:$E$66,4,FALSE),"-")</f>
        <v>-</v>
      </c>
      <c r="B162" s="27" t="s">
        <v>55</v>
      </c>
      <c r="C162" s="11"/>
      <c r="D162" s="11"/>
      <c r="E162" s="11"/>
      <c r="F162" s="11"/>
      <c r="G162" s="11"/>
      <c r="H162" s="11"/>
      <c r="I162" s="11"/>
      <c r="J162" s="12">
        <f t="shared" si="14"/>
        <v>0</v>
      </c>
      <c r="K162" s="65">
        <f>IF(J162&gt;0,K161*1.5,)</f>
        <v>0</v>
      </c>
      <c r="L162" s="13">
        <f t="shared" si="15"/>
        <v>0</v>
      </c>
      <c r="M162" s="66" t="s">
        <v>56</v>
      </c>
      <c r="N162" s="67">
        <f>N161*0.08</f>
        <v>0</v>
      </c>
      <c r="O162" s="68"/>
      <c r="P162" s="69" t="str">
        <f>IF('Filtered Information'!$B$1&gt;=A161,"NO","YES")</f>
        <v>YES</v>
      </c>
    </row>
    <row r="163" spans="1:28" hidden="1">
      <c r="A163" s="64" t="str">
        <f>IFERROR(VLOOKUP(A161,'Filtered Information'!$A$3:$E$66,3,FALSE),"-")</f>
        <v>-</v>
      </c>
      <c r="B163" s="27" t="s">
        <v>57</v>
      </c>
      <c r="C163" s="11"/>
      <c r="D163" s="11"/>
      <c r="E163" s="11"/>
      <c r="F163" s="11"/>
      <c r="G163" s="11"/>
      <c r="H163" s="11"/>
      <c r="I163" s="11"/>
      <c r="J163" s="12">
        <f t="shared" si="14"/>
        <v>0</v>
      </c>
      <c r="K163" s="65">
        <f>IF(J163&gt;0,K161*2,)</f>
        <v>0</v>
      </c>
      <c r="L163" s="13">
        <f t="shared" si="15"/>
        <v>0</v>
      </c>
      <c r="M163" s="70" t="str">
        <f>IF(K161&gt;0,"TOTAL WAGE:",0)</f>
        <v>TOTAL WAGE:</v>
      </c>
      <c r="N163" s="71">
        <f>N161+N162</f>
        <v>0</v>
      </c>
      <c r="O163" s="48">
        <f>N163</f>
        <v>0</v>
      </c>
      <c r="P163" s="69" t="str">
        <f>IF('Filtered Information'!$B$1&gt;=A161,"NO","YES")</f>
        <v>YES</v>
      </c>
    </row>
    <row r="164" spans="1:28" hidden="1">
      <c r="A164" s="82" t="str">
        <f>IFERROR(VLOOKUP(A161,'Filtered Information'!$A$3:$E$64,5,FALSE),"-")</f>
        <v>-</v>
      </c>
      <c r="B164" s="27" t="s">
        <v>58</v>
      </c>
      <c r="C164" s="11"/>
      <c r="D164" s="11"/>
      <c r="E164" s="11"/>
      <c r="F164" s="11"/>
      <c r="G164" s="11"/>
      <c r="H164" s="11"/>
      <c r="I164" s="11"/>
      <c r="J164" s="12">
        <f t="shared" si="14"/>
        <v>0</v>
      </c>
      <c r="K164" s="65"/>
      <c r="L164" s="13">
        <f t="shared" si="15"/>
        <v>0</v>
      </c>
      <c r="M164" s="72"/>
      <c r="N164" s="73"/>
      <c r="P164" s="69" t="str">
        <f>IF('Filtered Information'!$B$1&gt;=A161,"NO","YES")</f>
        <v>YES</v>
      </c>
      <c r="R164" s="74"/>
      <c r="S164" s="75"/>
      <c r="T164" s="75"/>
      <c r="U164" s="75"/>
      <c r="V164" s="75"/>
    </row>
    <row r="165" spans="1:28" s="74" customFormat="1" ht="13.5" hidden="1" thickBot="1">
      <c r="A165" s="83"/>
      <c r="B165" s="46" t="s">
        <v>60</v>
      </c>
      <c r="C165" s="14"/>
      <c r="D165" s="14"/>
      <c r="E165" s="14"/>
      <c r="F165" s="14"/>
      <c r="G165" s="14"/>
      <c r="H165" s="14"/>
      <c r="I165" s="14"/>
      <c r="J165" s="15">
        <f t="shared" si="14"/>
        <v>0</v>
      </c>
      <c r="K165" s="77">
        <f>IF(J165&gt;0,K161,)</f>
        <v>0</v>
      </c>
      <c r="L165" s="16">
        <f t="shared" si="15"/>
        <v>0</v>
      </c>
      <c r="M165" s="78" t="str">
        <f>IF(K161&gt;0,"UNION 3.5%:",0)</f>
        <v>UNION 3.5%:</v>
      </c>
      <c r="N165" s="79">
        <f>N163*0.035</f>
        <v>0</v>
      </c>
      <c r="O165" s="75"/>
      <c r="P165" s="80" t="str">
        <f>IF('Filtered Information'!$B$1&gt;=A161,"NO","YES")</f>
        <v>YES</v>
      </c>
      <c r="R165" s="38"/>
      <c r="S165" s="48"/>
      <c r="T165" s="48"/>
      <c r="U165" s="48"/>
      <c r="V165" s="48"/>
      <c r="AA165" s="81"/>
      <c r="AB165" s="81"/>
    </row>
    <row r="166" spans="1:28" s="53" customFormat="1" ht="13.5" hidden="1" thickTop="1">
      <c r="A166" s="55">
        <f>A161+1</f>
        <v>32</v>
      </c>
      <c r="B166" s="56" t="s">
        <v>54</v>
      </c>
      <c r="C166" s="8"/>
      <c r="D166" s="8"/>
      <c r="E166" s="8"/>
      <c r="F166" s="8"/>
      <c r="G166" s="8"/>
      <c r="H166" s="8"/>
      <c r="I166" s="8"/>
      <c r="J166" s="9">
        <f t="shared" si="14"/>
        <v>0</v>
      </c>
      <c r="K166" s="57" t="str">
        <f>IFERROR(VLOOKUP(A166,'Filtered Information'!$A$3:$D$64,2,FALSE),"0")</f>
        <v>0</v>
      </c>
      <c r="L166" s="10">
        <f t="shared" si="15"/>
        <v>0</v>
      </c>
      <c r="M166" s="58" t="str">
        <f>IF(K166&gt;0,"SUBTOTAL:",0)</f>
        <v>SUBTOTAL:</v>
      </c>
      <c r="N166" s="59">
        <f>SUM(L166:L170)</f>
        <v>0</v>
      </c>
      <c r="O166" s="60"/>
      <c r="P166" s="61" t="str">
        <f>IF('Filtered Information'!$B$1&gt;=A166,"NO","YES")</f>
        <v>YES</v>
      </c>
      <c r="Q166" s="62"/>
      <c r="R166" s="38"/>
      <c r="S166" s="48"/>
      <c r="T166" s="48"/>
      <c r="U166" s="48"/>
      <c r="V166" s="48"/>
      <c r="AA166" s="63"/>
      <c r="AB166" s="63"/>
    </row>
    <row r="167" spans="1:28" hidden="1">
      <c r="A167" s="64" t="str">
        <f>IFERROR(VLOOKUP(A166,'Filtered Information'!$A$3:$E$66,4,FALSE),"-")</f>
        <v>-</v>
      </c>
      <c r="B167" s="27" t="s">
        <v>55</v>
      </c>
      <c r="C167" s="11"/>
      <c r="D167" s="11"/>
      <c r="E167" s="11"/>
      <c r="F167" s="11"/>
      <c r="G167" s="11"/>
      <c r="H167" s="11"/>
      <c r="I167" s="11"/>
      <c r="J167" s="12">
        <f t="shared" si="14"/>
        <v>0</v>
      </c>
      <c r="K167" s="65">
        <f>IF(J167&gt;0,K166*1.5,)</f>
        <v>0</v>
      </c>
      <c r="L167" s="13">
        <f t="shared" si="15"/>
        <v>0</v>
      </c>
      <c r="M167" s="66" t="s">
        <v>56</v>
      </c>
      <c r="N167" s="67">
        <f>N166*0.08</f>
        <v>0</v>
      </c>
      <c r="O167" s="68"/>
      <c r="P167" s="69" t="str">
        <f>IF('Filtered Information'!$B$1&gt;=A166,"NO","YES")</f>
        <v>YES</v>
      </c>
    </row>
    <row r="168" spans="1:28" hidden="1">
      <c r="A168" s="64" t="str">
        <f>IFERROR(VLOOKUP(A166,'Filtered Information'!$A$3:$E$66,3,FALSE),"-")</f>
        <v>-</v>
      </c>
      <c r="B168" s="27" t="s">
        <v>57</v>
      </c>
      <c r="C168" s="11"/>
      <c r="D168" s="11"/>
      <c r="E168" s="11"/>
      <c r="F168" s="11"/>
      <c r="G168" s="11"/>
      <c r="H168" s="11"/>
      <c r="I168" s="11"/>
      <c r="J168" s="12">
        <f t="shared" si="14"/>
        <v>0</v>
      </c>
      <c r="K168" s="65">
        <f>IF(J168&gt;0,K166*2,)</f>
        <v>0</v>
      </c>
      <c r="L168" s="13">
        <f t="shared" si="15"/>
        <v>0</v>
      </c>
      <c r="M168" s="70" t="str">
        <f>IF(K166&gt;0,"TOTAL WAGE:",0)</f>
        <v>TOTAL WAGE:</v>
      </c>
      <c r="N168" s="71">
        <f>N166+N167</f>
        <v>0</v>
      </c>
      <c r="O168" s="48">
        <f>N168</f>
        <v>0</v>
      </c>
      <c r="P168" s="69" t="str">
        <f>IF('Filtered Information'!$B$1&gt;=A166,"NO","YES")</f>
        <v>YES</v>
      </c>
    </row>
    <row r="169" spans="1:28" hidden="1">
      <c r="A169" s="82" t="str">
        <f>IFERROR(VLOOKUP(A166,'Filtered Information'!$A$3:$E$64,5,FALSE),"-")</f>
        <v>-</v>
      </c>
      <c r="B169" s="27" t="s">
        <v>58</v>
      </c>
      <c r="C169" s="11"/>
      <c r="D169" s="11"/>
      <c r="E169" s="11"/>
      <c r="F169" s="11"/>
      <c r="G169" s="11"/>
      <c r="H169" s="11"/>
      <c r="I169" s="11"/>
      <c r="J169" s="12">
        <f t="shared" si="14"/>
        <v>0</v>
      </c>
      <c r="K169" s="65"/>
      <c r="L169" s="13">
        <f t="shared" si="15"/>
        <v>0</v>
      </c>
      <c r="M169" s="72"/>
      <c r="N169" s="73"/>
      <c r="P169" s="69" t="str">
        <f>IF('Filtered Information'!$B$1&gt;=A166,"NO","YES")</f>
        <v>YES</v>
      </c>
      <c r="R169" s="74"/>
      <c r="S169" s="75"/>
      <c r="T169" s="75"/>
      <c r="U169" s="75"/>
      <c r="V169" s="75"/>
    </row>
    <row r="170" spans="1:28" s="74" customFormat="1" ht="13.5" hidden="1" thickBot="1">
      <c r="A170" s="83"/>
      <c r="B170" s="46" t="s">
        <v>60</v>
      </c>
      <c r="C170" s="14"/>
      <c r="D170" s="14"/>
      <c r="E170" s="14"/>
      <c r="F170" s="14"/>
      <c r="G170" s="14"/>
      <c r="H170" s="14"/>
      <c r="I170" s="14"/>
      <c r="J170" s="15">
        <f t="shared" si="14"/>
        <v>0</v>
      </c>
      <c r="K170" s="77">
        <f>IF(J170&gt;0,K166,)</f>
        <v>0</v>
      </c>
      <c r="L170" s="16">
        <f t="shared" si="15"/>
        <v>0</v>
      </c>
      <c r="M170" s="78" t="str">
        <f>IF(K166&gt;0,"UNION 3.5%:",0)</f>
        <v>UNION 3.5%:</v>
      </c>
      <c r="N170" s="79">
        <f>N168*0.035</f>
        <v>0</v>
      </c>
      <c r="O170" s="75"/>
      <c r="P170" s="80" t="str">
        <f>IF('Filtered Information'!$B$1&gt;=A166,"NO","YES")</f>
        <v>YES</v>
      </c>
      <c r="R170" s="38"/>
      <c r="S170" s="48"/>
      <c r="T170" s="48"/>
      <c r="U170" s="48"/>
      <c r="V170" s="48"/>
      <c r="AA170" s="81"/>
      <c r="AB170" s="81"/>
    </row>
    <row r="171" spans="1:28" s="53" customFormat="1" ht="13.5" hidden="1" thickTop="1">
      <c r="A171" s="55">
        <f>A166+1</f>
        <v>33</v>
      </c>
      <c r="B171" s="56" t="s">
        <v>54</v>
      </c>
      <c r="C171" s="8"/>
      <c r="D171" s="8"/>
      <c r="E171" s="8"/>
      <c r="F171" s="8"/>
      <c r="G171" s="8"/>
      <c r="H171" s="8"/>
      <c r="I171" s="8"/>
      <c r="J171" s="9">
        <f t="shared" si="14"/>
        <v>0</v>
      </c>
      <c r="K171" s="57" t="str">
        <f>IFERROR(VLOOKUP(A171,'Filtered Information'!$A$3:$D$64,2,FALSE),"0")</f>
        <v>0</v>
      </c>
      <c r="L171" s="10">
        <f t="shared" si="15"/>
        <v>0</v>
      </c>
      <c r="M171" s="58" t="str">
        <f>IF(K171&gt;0,"SUBTOTAL:",0)</f>
        <v>SUBTOTAL:</v>
      </c>
      <c r="N171" s="59">
        <f>SUM(L171:L175)</f>
        <v>0</v>
      </c>
      <c r="O171" s="60"/>
      <c r="P171" s="61" t="str">
        <f>IF('Filtered Information'!$B$1&gt;=A171,"NO","YES")</f>
        <v>YES</v>
      </c>
      <c r="Q171" s="62"/>
      <c r="R171" s="38"/>
      <c r="S171" s="48"/>
      <c r="T171" s="48"/>
      <c r="U171" s="48"/>
      <c r="V171" s="48"/>
      <c r="AA171" s="63"/>
      <c r="AB171" s="63"/>
    </row>
    <row r="172" spans="1:28" hidden="1">
      <c r="A172" s="64" t="str">
        <f>IFERROR(VLOOKUP(A171,'Filtered Information'!$A$3:$E$66,4,FALSE),"-")</f>
        <v>-</v>
      </c>
      <c r="B172" s="27" t="s">
        <v>55</v>
      </c>
      <c r="C172" s="11"/>
      <c r="D172" s="11"/>
      <c r="E172" s="11"/>
      <c r="F172" s="11"/>
      <c r="G172" s="11"/>
      <c r="H172" s="11"/>
      <c r="I172" s="11"/>
      <c r="J172" s="12">
        <f t="shared" si="14"/>
        <v>0</v>
      </c>
      <c r="K172" s="65">
        <f>IF(J172&gt;0,K171*1.5,)</f>
        <v>0</v>
      </c>
      <c r="L172" s="13">
        <f t="shared" si="15"/>
        <v>0</v>
      </c>
      <c r="M172" s="66" t="s">
        <v>56</v>
      </c>
      <c r="N172" s="67">
        <f>N171*0.08</f>
        <v>0</v>
      </c>
      <c r="O172" s="68"/>
      <c r="P172" s="69" t="str">
        <f>IF('Filtered Information'!$B$1&gt;=A171,"NO","YES")</f>
        <v>YES</v>
      </c>
    </row>
    <row r="173" spans="1:28" hidden="1">
      <c r="A173" s="64" t="str">
        <f>IFERROR(VLOOKUP(A171,'Filtered Information'!$A$3:$E$66,3,FALSE),"-")</f>
        <v>-</v>
      </c>
      <c r="B173" s="27" t="s">
        <v>57</v>
      </c>
      <c r="C173" s="11"/>
      <c r="D173" s="11"/>
      <c r="E173" s="11"/>
      <c r="F173" s="11"/>
      <c r="G173" s="11"/>
      <c r="H173" s="11"/>
      <c r="I173" s="11"/>
      <c r="J173" s="12">
        <f t="shared" si="14"/>
        <v>0</v>
      </c>
      <c r="K173" s="65">
        <f>IF(J173&gt;0,K171*2,)</f>
        <v>0</v>
      </c>
      <c r="L173" s="13">
        <f t="shared" si="15"/>
        <v>0</v>
      </c>
      <c r="M173" s="70" t="str">
        <f>IF(K171&gt;0,"TOTAL WAGE:",0)</f>
        <v>TOTAL WAGE:</v>
      </c>
      <c r="N173" s="71">
        <f>N171+N172</f>
        <v>0</v>
      </c>
      <c r="O173" s="48">
        <f>N173</f>
        <v>0</v>
      </c>
      <c r="P173" s="69" t="str">
        <f>IF('Filtered Information'!$B$1&gt;=A171,"NO","YES")</f>
        <v>YES</v>
      </c>
    </row>
    <row r="174" spans="1:28" hidden="1">
      <c r="A174" s="82" t="str">
        <f>IFERROR(VLOOKUP(A171,'Filtered Information'!$A$3:$E$64,5,FALSE),"-")</f>
        <v>-</v>
      </c>
      <c r="B174" s="27" t="s">
        <v>58</v>
      </c>
      <c r="C174" s="11"/>
      <c r="D174" s="11"/>
      <c r="E174" s="11"/>
      <c r="F174" s="11"/>
      <c r="G174" s="11"/>
      <c r="H174" s="11"/>
      <c r="I174" s="11"/>
      <c r="J174" s="12">
        <f t="shared" si="14"/>
        <v>0</v>
      </c>
      <c r="K174" s="65"/>
      <c r="L174" s="13">
        <f t="shared" si="15"/>
        <v>0</v>
      </c>
      <c r="M174" s="72"/>
      <c r="N174" s="73"/>
      <c r="P174" s="69" t="str">
        <f>IF('Filtered Information'!$B$1&gt;=A171,"NO","YES")</f>
        <v>YES</v>
      </c>
      <c r="R174" s="74"/>
      <c r="S174" s="75"/>
      <c r="T174" s="75"/>
      <c r="U174" s="75"/>
      <c r="V174" s="75"/>
    </row>
    <row r="175" spans="1:28" s="74" customFormat="1" ht="13.5" hidden="1" thickBot="1">
      <c r="A175" s="83"/>
      <c r="B175" s="46" t="s">
        <v>60</v>
      </c>
      <c r="C175" s="14"/>
      <c r="D175" s="14"/>
      <c r="E175" s="14"/>
      <c r="F175" s="14"/>
      <c r="G175" s="14"/>
      <c r="H175" s="14"/>
      <c r="I175" s="14"/>
      <c r="J175" s="15">
        <f t="shared" si="14"/>
        <v>0</v>
      </c>
      <c r="K175" s="77">
        <f>IF(J175&gt;0,K171,)</f>
        <v>0</v>
      </c>
      <c r="L175" s="16">
        <f t="shared" si="15"/>
        <v>0</v>
      </c>
      <c r="M175" s="78" t="str">
        <f>IF(K171&gt;0,"UNION 3.5%:",0)</f>
        <v>UNION 3.5%:</v>
      </c>
      <c r="N175" s="79">
        <f>N173*0.035</f>
        <v>0</v>
      </c>
      <c r="O175" s="75"/>
      <c r="P175" s="80" t="str">
        <f>IF('Filtered Information'!$B$1&gt;=A171,"NO","YES")</f>
        <v>YES</v>
      </c>
      <c r="R175" s="38"/>
      <c r="S175" s="48"/>
      <c r="T175" s="48"/>
      <c r="U175" s="48"/>
      <c r="V175" s="48"/>
      <c r="AA175" s="81"/>
      <c r="AB175" s="81"/>
    </row>
    <row r="176" spans="1:28" s="53" customFormat="1" ht="13.5" hidden="1" thickTop="1">
      <c r="A176" s="55">
        <f>A171+1</f>
        <v>34</v>
      </c>
      <c r="B176" s="56" t="s">
        <v>54</v>
      </c>
      <c r="C176" s="8"/>
      <c r="D176" s="8"/>
      <c r="E176" s="8"/>
      <c r="F176" s="8"/>
      <c r="G176" s="8"/>
      <c r="H176" s="8"/>
      <c r="I176" s="8"/>
      <c r="J176" s="9">
        <f t="shared" si="14"/>
        <v>0</v>
      </c>
      <c r="K176" s="57" t="str">
        <f>IFERROR(VLOOKUP(A176,'Filtered Information'!$A$3:$D$64,2,FALSE),"0")</f>
        <v>0</v>
      </c>
      <c r="L176" s="10">
        <f t="shared" si="15"/>
        <v>0</v>
      </c>
      <c r="M176" s="58" t="str">
        <f>IF(K176&gt;0,"SUBTOTAL:",0)</f>
        <v>SUBTOTAL:</v>
      </c>
      <c r="N176" s="59">
        <f>SUM(L176:L180)</f>
        <v>0</v>
      </c>
      <c r="O176" s="60"/>
      <c r="P176" s="61" t="str">
        <f>IF('Filtered Information'!$B$1&gt;=A176,"NO","YES")</f>
        <v>YES</v>
      </c>
      <c r="Q176" s="62"/>
      <c r="R176" s="38"/>
      <c r="S176" s="48"/>
      <c r="T176" s="48"/>
      <c r="U176" s="48"/>
      <c r="V176" s="48"/>
      <c r="AA176" s="63"/>
      <c r="AB176" s="63"/>
    </row>
    <row r="177" spans="1:28" hidden="1">
      <c r="A177" s="64" t="str">
        <f>IFERROR(VLOOKUP(A176,'Filtered Information'!$A$3:$E$66,4,FALSE),"-")</f>
        <v>-</v>
      </c>
      <c r="B177" s="27" t="s">
        <v>55</v>
      </c>
      <c r="C177" s="11"/>
      <c r="D177" s="11"/>
      <c r="E177" s="11"/>
      <c r="F177" s="11"/>
      <c r="G177" s="11"/>
      <c r="H177" s="11"/>
      <c r="I177" s="11"/>
      <c r="J177" s="12">
        <f t="shared" si="14"/>
        <v>0</v>
      </c>
      <c r="K177" s="65">
        <f>IF(J177&gt;0,K176*1.5,)</f>
        <v>0</v>
      </c>
      <c r="L177" s="13">
        <f t="shared" si="15"/>
        <v>0</v>
      </c>
      <c r="M177" s="66" t="s">
        <v>56</v>
      </c>
      <c r="N177" s="67">
        <f>N176*0.08</f>
        <v>0</v>
      </c>
      <c r="O177" s="68"/>
      <c r="P177" s="69" t="str">
        <f>IF('Filtered Information'!$B$1&gt;=A176,"NO","YES")</f>
        <v>YES</v>
      </c>
    </row>
    <row r="178" spans="1:28" hidden="1">
      <c r="A178" s="64" t="str">
        <f>IFERROR(VLOOKUP(A176,'Filtered Information'!$A$3:$E$66,3,FALSE),"-")</f>
        <v>-</v>
      </c>
      <c r="B178" s="27" t="s">
        <v>57</v>
      </c>
      <c r="C178" s="11"/>
      <c r="D178" s="11"/>
      <c r="E178" s="11"/>
      <c r="F178" s="11"/>
      <c r="G178" s="11"/>
      <c r="H178" s="11"/>
      <c r="I178" s="11"/>
      <c r="J178" s="12">
        <f t="shared" si="14"/>
        <v>0</v>
      </c>
      <c r="K178" s="65">
        <f>IF(J178&gt;0,K176*2,)</f>
        <v>0</v>
      </c>
      <c r="L178" s="13">
        <f t="shared" si="15"/>
        <v>0</v>
      </c>
      <c r="M178" s="70" t="str">
        <f>IF(K176&gt;0,"TOTAL WAGE:",0)</f>
        <v>TOTAL WAGE:</v>
      </c>
      <c r="N178" s="71">
        <f>N176+N177</f>
        <v>0</v>
      </c>
      <c r="O178" s="48">
        <f>N178</f>
        <v>0</v>
      </c>
      <c r="P178" s="69" t="str">
        <f>IF('Filtered Information'!$B$1&gt;=A176,"NO","YES")</f>
        <v>YES</v>
      </c>
    </row>
    <row r="179" spans="1:28" hidden="1">
      <c r="A179" s="82" t="str">
        <f>IFERROR(VLOOKUP(A176,'Filtered Information'!$A$3:$E$64,5,FALSE),"-")</f>
        <v>-</v>
      </c>
      <c r="B179" s="27" t="s">
        <v>58</v>
      </c>
      <c r="C179" s="11"/>
      <c r="D179" s="11"/>
      <c r="E179" s="11"/>
      <c r="F179" s="11"/>
      <c r="G179" s="11"/>
      <c r="H179" s="11"/>
      <c r="I179" s="11"/>
      <c r="J179" s="12">
        <f t="shared" si="14"/>
        <v>0</v>
      </c>
      <c r="K179" s="65"/>
      <c r="L179" s="13">
        <f t="shared" si="15"/>
        <v>0</v>
      </c>
      <c r="M179" s="72"/>
      <c r="N179" s="73"/>
      <c r="P179" s="69" t="str">
        <f>IF('Filtered Information'!$B$1&gt;=A176,"NO","YES")</f>
        <v>YES</v>
      </c>
      <c r="R179" s="74"/>
      <c r="S179" s="75"/>
      <c r="T179" s="75"/>
      <c r="U179" s="75"/>
      <c r="V179" s="75"/>
    </row>
    <row r="180" spans="1:28" s="74" customFormat="1" ht="13.5" hidden="1" thickBot="1">
      <c r="A180" s="83"/>
      <c r="B180" s="46" t="s">
        <v>60</v>
      </c>
      <c r="C180" s="14"/>
      <c r="D180" s="14"/>
      <c r="E180" s="14"/>
      <c r="F180" s="14"/>
      <c r="G180" s="14"/>
      <c r="H180" s="14"/>
      <c r="I180" s="14"/>
      <c r="J180" s="15">
        <f t="shared" si="14"/>
        <v>0</v>
      </c>
      <c r="K180" s="77">
        <f>IF(J180&gt;0,K176,)</f>
        <v>0</v>
      </c>
      <c r="L180" s="16">
        <f t="shared" si="15"/>
        <v>0</v>
      </c>
      <c r="M180" s="78" t="str">
        <f>IF(K176&gt;0,"UNION 3.5%:",0)</f>
        <v>UNION 3.5%:</v>
      </c>
      <c r="N180" s="79">
        <f>N178*0.035</f>
        <v>0</v>
      </c>
      <c r="O180" s="75"/>
      <c r="P180" s="80" t="str">
        <f>IF('Filtered Information'!$B$1&gt;=A176,"NO","YES")</f>
        <v>YES</v>
      </c>
      <c r="R180" s="38"/>
      <c r="S180" s="48"/>
      <c r="T180" s="48"/>
      <c r="U180" s="48"/>
      <c r="V180" s="48"/>
      <c r="AA180" s="81"/>
      <c r="AB180" s="81"/>
    </row>
    <row r="181" spans="1:28" s="53" customFormat="1" ht="13.5" hidden="1" thickTop="1">
      <c r="A181" s="55">
        <f>A176+1</f>
        <v>35</v>
      </c>
      <c r="B181" s="56" t="s">
        <v>54</v>
      </c>
      <c r="C181" s="8"/>
      <c r="D181" s="8"/>
      <c r="E181" s="8"/>
      <c r="F181" s="8"/>
      <c r="G181" s="8"/>
      <c r="H181" s="8"/>
      <c r="I181" s="8"/>
      <c r="J181" s="9">
        <f t="shared" si="14"/>
        <v>0</v>
      </c>
      <c r="K181" s="57" t="str">
        <f>IFERROR(VLOOKUP(A181,'Filtered Information'!$A$3:$D$64,2,FALSE),"0")</f>
        <v>0</v>
      </c>
      <c r="L181" s="10">
        <f t="shared" si="15"/>
        <v>0</v>
      </c>
      <c r="M181" s="58" t="str">
        <f>IF(K181&gt;0,"SUBTOTAL:",0)</f>
        <v>SUBTOTAL:</v>
      </c>
      <c r="N181" s="59">
        <f>SUM(L181:L185)</f>
        <v>0</v>
      </c>
      <c r="O181" s="60"/>
      <c r="P181" s="61" t="str">
        <f>IF('Filtered Information'!$B$1&gt;=A181,"NO","YES")</f>
        <v>YES</v>
      </c>
      <c r="Q181" s="62"/>
      <c r="R181" s="38"/>
      <c r="S181" s="48"/>
      <c r="T181" s="48"/>
      <c r="U181" s="48"/>
      <c r="V181" s="48"/>
      <c r="AA181" s="63"/>
      <c r="AB181" s="63"/>
    </row>
    <row r="182" spans="1:28" hidden="1">
      <c r="A182" s="64" t="str">
        <f>IFERROR(VLOOKUP(A181,'Filtered Information'!$A$3:$E$66,4,FALSE),"-")</f>
        <v>-</v>
      </c>
      <c r="B182" s="27" t="s">
        <v>55</v>
      </c>
      <c r="C182" s="11"/>
      <c r="D182" s="11"/>
      <c r="E182" s="11"/>
      <c r="F182" s="11"/>
      <c r="G182" s="11"/>
      <c r="H182" s="11"/>
      <c r="I182" s="11"/>
      <c r="J182" s="12">
        <f t="shared" si="14"/>
        <v>0</v>
      </c>
      <c r="K182" s="65">
        <f>IF(J182&gt;0,K181*1.5,)</f>
        <v>0</v>
      </c>
      <c r="L182" s="13">
        <f t="shared" si="15"/>
        <v>0</v>
      </c>
      <c r="M182" s="66" t="s">
        <v>56</v>
      </c>
      <c r="N182" s="67">
        <f>N181*0.08</f>
        <v>0</v>
      </c>
      <c r="O182" s="68"/>
      <c r="P182" s="69" t="str">
        <f>IF('Filtered Information'!$B$1&gt;=A181,"NO","YES")</f>
        <v>YES</v>
      </c>
    </row>
    <row r="183" spans="1:28" hidden="1">
      <c r="A183" s="64" t="str">
        <f>IFERROR(VLOOKUP(A181,'Filtered Information'!$A$3:$E$66,3,FALSE),"-")</f>
        <v>-</v>
      </c>
      <c r="B183" s="27" t="s">
        <v>57</v>
      </c>
      <c r="C183" s="11"/>
      <c r="D183" s="11"/>
      <c r="E183" s="11"/>
      <c r="F183" s="11"/>
      <c r="G183" s="11"/>
      <c r="H183" s="11"/>
      <c r="I183" s="11"/>
      <c r="J183" s="12">
        <f t="shared" si="14"/>
        <v>0</v>
      </c>
      <c r="K183" s="65">
        <f>IF(J183&gt;0,K181*2,)</f>
        <v>0</v>
      </c>
      <c r="L183" s="13">
        <f t="shared" si="15"/>
        <v>0</v>
      </c>
      <c r="M183" s="70" t="str">
        <f>IF(K181&gt;0,"TOTAL WAGE:",0)</f>
        <v>TOTAL WAGE:</v>
      </c>
      <c r="N183" s="71">
        <f>N181+N182</f>
        <v>0</v>
      </c>
      <c r="O183" s="48">
        <f>N183</f>
        <v>0</v>
      </c>
      <c r="P183" s="69" t="str">
        <f>IF('Filtered Information'!$B$1&gt;=A181,"NO","YES")</f>
        <v>YES</v>
      </c>
    </row>
    <row r="184" spans="1:28" hidden="1">
      <c r="A184" s="82" t="str">
        <f>IFERROR(VLOOKUP(A181,'Filtered Information'!$A$3:$E$64,5,FALSE),"-")</f>
        <v>-</v>
      </c>
      <c r="B184" s="27" t="s">
        <v>58</v>
      </c>
      <c r="C184" s="11"/>
      <c r="D184" s="11"/>
      <c r="E184" s="11"/>
      <c r="F184" s="11"/>
      <c r="G184" s="11"/>
      <c r="H184" s="11"/>
      <c r="I184" s="11"/>
      <c r="J184" s="12">
        <f t="shared" si="14"/>
        <v>0</v>
      </c>
      <c r="K184" s="65"/>
      <c r="L184" s="13">
        <f t="shared" si="15"/>
        <v>0</v>
      </c>
      <c r="M184" s="72"/>
      <c r="N184" s="73"/>
      <c r="P184" s="69" t="str">
        <f>IF('Filtered Information'!$B$1&gt;=A181,"NO","YES")</f>
        <v>YES</v>
      </c>
      <c r="R184" s="74"/>
      <c r="S184" s="75"/>
      <c r="T184" s="75"/>
      <c r="U184" s="75"/>
      <c r="V184" s="75"/>
    </row>
    <row r="185" spans="1:28" s="74" customFormat="1" ht="13.5" hidden="1" thickBot="1">
      <c r="A185" s="83"/>
      <c r="B185" s="46" t="s">
        <v>60</v>
      </c>
      <c r="C185" s="14"/>
      <c r="D185" s="14"/>
      <c r="E185" s="14"/>
      <c r="F185" s="14"/>
      <c r="G185" s="14"/>
      <c r="H185" s="14"/>
      <c r="I185" s="14"/>
      <c r="J185" s="15">
        <f t="shared" ref="J185:J190" si="16">SUM(C185:I185)</f>
        <v>0</v>
      </c>
      <c r="K185" s="77">
        <f>IF(J185&gt;0,K181,)</f>
        <v>0</v>
      </c>
      <c r="L185" s="16">
        <f t="shared" ref="L185:L190" si="17">J185*K185</f>
        <v>0</v>
      </c>
      <c r="M185" s="78" t="str">
        <f>IF(K181&gt;0,"UNION 3.5%:",0)</f>
        <v>UNION 3.5%:</v>
      </c>
      <c r="N185" s="79">
        <f>N183*0.035</f>
        <v>0</v>
      </c>
      <c r="O185" s="75"/>
      <c r="P185" s="80" t="str">
        <f>IF('Filtered Information'!$B$1&gt;=A181,"NO","YES")</f>
        <v>YES</v>
      </c>
      <c r="R185" s="38"/>
      <c r="S185" s="48"/>
      <c r="T185" s="48"/>
      <c r="U185" s="48"/>
      <c r="V185" s="48"/>
      <c r="AA185" s="81"/>
      <c r="AB185" s="81"/>
    </row>
    <row r="186" spans="1:28" s="53" customFormat="1" ht="13.5" hidden="1" thickTop="1">
      <c r="A186" s="55">
        <f>A181+1</f>
        <v>36</v>
      </c>
      <c r="B186" s="56" t="s">
        <v>54</v>
      </c>
      <c r="C186" s="8"/>
      <c r="D186" s="8"/>
      <c r="E186" s="8"/>
      <c r="F186" s="8"/>
      <c r="G186" s="8"/>
      <c r="H186" s="8"/>
      <c r="I186" s="8"/>
      <c r="J186" s="9">
        <f t="shared" si="16"/>
        <v>0</v>
      </c>
      <c r="K186" s="57" t="str">
        <f>IFERROR(VLOOKUP(A186,'Filtered Information'!$A$3:$D$64,2,FALSE),"0")</f>
        <v>0</v>
      </c>
      <c r="L186" s="10">
        <f t="shared" si="17"/>
        <v>0</v>
      </c>
      <c r="M186" s="58" t="str">
        <f>IF(K186&gt;0,"SUBTOTAL:",0)</f>
        <v>SUBTOTAL:</v>
      </c>
      <c r="N186" s="59">
        <f>SUM(L186:L190)</f>
        <v>0</v>
      </c>
      <c r="O186" s="60"/>
      <c r="P186" s="61" t="str">
        <f>IF('Filtered Information'!$B$1&gt;=A186,"NO","YES")</f>
        <v>YES</v>
      </c>
      <c r="Q186" s="62"/>
      <c r="R186" s="38"/>
      <c r="S186" s="48"/>
      <c r="T186" s="48"/>
      <c r="U186" s="48"/>
      <c r="V186" s="48"/>
      <c r="AA186" s="63"/>
      <c r="AB186" s="63"/>
    </row>
    <row r="187" spans="1:28" hidden="1">
      <c r="A187" s="64" t="str">
        <f>IFERROR(VLOOKUP(A186,'Filtered Information'!$A$3:$E$66,4,FALSE),"-")</f>
        <v>-</v>
      </c>
      <c r="B187" s="27" t="s">
        <v>55</v>
      </c>
      <c r="C187" s="11"/>
      <c r="D187" s="11"/>
      <c r="E187" s="11"/>
      <c r="F187" s="11"/>
      <c r="G187" s="11"/>
      <c r="H187" s="11"/>
      <c r="I187" s="11"/>
      <c r="J187" s="12">
        <f t="shared" si="16"/>
        <v>0</v>
      </c>
      <c r="K187" s="65">
        <f>IF(J187&gt;0,K186*1.5,)</f>
        <v>0</v>
      </c>
      <c r="L187" s="13">
        <f t="shared" si="17"/>
        <v>0</v>
      </c>
      <c r="M187" s="66" t="s">
        <v>56</v>
      </c>
      <c r="N187" s="67">
        <f>N186*0.08</f>
        <v>0</v>
      </c>
      <c r="O187" s="68"/>
      <c r="P187" s="69" t="str">
        <f>IF('Filtered Information'!$B$1&gt;=A186,"NO","YES")</f>
        <v>YES</v>
      </c>
    </row>
    <row r="188" spans="1:28" hidden="1">
      <c r="A188" s="64" t="str">
        <f>IFERROR(VLOOKUP(A186,'Filtered Information'!$A$3:$E$66,3,FALSE),"-")</f>
        <v>-</v>
      </c>
      <c r="B188" s="27" t="s">
        <v>57</v>
      </c>
      <c r="C188" s="11"/>
      <c r="D188" s="11"/>
      <c r="E188" s="11"/>
      <c r="F188" s="11"/>
      <c r="G188" s="11"/>
      <c r="H188" s="11"/>
      <c r="I188" s="11"/>
      <c r="J188" s="12">
        <f t="shared" si="16"/>
        <v>0</v>
      </c>
      <c r="K188" s="65">
        <f>IF(J188&gt;0,K186*2,)</f>
        <v>0</v>
      </c>
      <c r="L188" s="13">
        <f t="shared" si="17"/>
        <v>0</v>
      </c>
      <c r="M188" s="70" t="str">
        <f>IF(K186&gt;0,"TOTAL WAGE:",0)</f>
        <v>TOTAL WAGE:</v>
      </c>
      <c r="N188" s="71">
        <f>N186+N187</f>
        <v>0</v>
      </c>
      <c r="O188" s="48">
        <f>N188</f>
        <v>0</v>
      </c>
      <c r="P188" s="69" t="str">
        <f>IF('Filtered Information'!$B$1&gt;=A186,"NO","YES")</f>
        <v>YES</v>
      </c>
    </row>
    <row r="189" spans="1:28" hidden="1">
      <c r="A189" s="82" t="str">
        <f>IFERROR(VLOOKUP(A186,'Filtered Information'!$A$3:$E$64,5,FALSE),"-")</f>
        <v>-</v>
      </c>
      <c r="B189" s="27" t="s">
        <v>58</v>
      </c>
      <c r="C189" s="11"/>
      <c r="D189" s="11"/>
      <c r="E189" s="11"/>
      <c r="F189" s="11"/>
      <c r="G189" s="11"/>
      <c r="H189" s="11"/>
      <c r="I189" s="11"/>
      <c r="J189" s="12">
        <f t="shared" si="16"/>
        <v>0</v>
      </c>
      <c r="K189" s="65"/>
      <c r="L189" s="13">
        <f t="shared" si="17"/>
        <v>0</v>
      </c>
      <c r="M189" s="72"/>
      <c r="N189" s="73"/>
      <c r="P189" s="69" t="str">
        <f>IF('Filtered Information'!$B$1&gt;=A186,"NO","YES")</f>
        <v>YES</v>
      </c>
      <c r="R189" s="74"/>
      <c r="S189" s="75"/>
      <c r="T189" s="75"/>
      <c r="U189" s="75"/>
      <c r="V189" s="75"/>
    </row>
    <row r="190" spans="1:28" s="74" customFormat="1" ht="13.5" hidden="1" thickBot="1">
      <c r="A190" s="83"/>
      <c r="B190" s="46" t="s">
        <v>60</v>
      </c>
      <c r="C190" s="14"/>
      <c r="D190" s="14"/>
      <c r="E190" s="14"/>
      <c r="F190" s="14"/>
      <c r="G190" s="14"/>
      <c r="H190" s="14"/>
      <c r="I190" s="14"/>
      <c r="J190" s="15">
        <f t="shared" si="16"/>
        <v>0</v>
      </c>
      <c r="K190" s="77">
        <f>IF(J190&gt;0,K186,)</f>
        <v>0</v>
      </c>
      <c r="L190" s="16">
        <f t="shared" si="17"/>
        <v>0</v>
      </c>
      <c r="M190" s="78" t="str">
        <f>IF(K186&gt;0,"UNION 3.5%:",0)</f>
        <v>UNION 3.5%:</v>
      </c>
      <c r="N190" s="79">
        <f>N188*0.035</f>
        <v>0</v>
      </c>
      <c r="O190" s="75"/>
      <c r="P190" s="80" t="str">
        <f>IF('Filtered Information'!$B$1&gt;=A186,"NO","YES")</f>
        <v>YES</v>
      </c>
      <c r="R190" s="38"/>
      <c r="S190" s="48"/>
      <c r="T190" s="48"/>
      <c r="U190" s="48"/>
      <c r="V190" s="48"/>
      <c r="AA190" s="81"/>
      <c r="AB190" s="81"/>
    </row>
    <row r="191" spans="1:28" s="53" customFormat="1" ht="13.5" hidden="1" thickTop="1">
      <c r="A191" s="55">
        <f>A186+1</f>
        <v>37</v>
      </c>
      <c r="B191" s="56" t="s">
        <v>54</v>
      </c>
      <c r="C191" s="8"/>
      <c r="D191" s="8"/>
      <c r="E191" s="8"/>
      <c r="F191" s="8"/>
      <c r="G191" s="8"/>
      <c r="H191" s="8"/>
      <c r="I191" s="8"/>
      <c r="J191" s="9">
        <f t="shared" ref="J191:J210" si="18">SUM(C191:I191)</f>
        <v>0</v>
      </c>
      <c r="K191" s="57" t="str">
        <f>IFERROR(VLOOKUP(A191,'Filtered Information'!$A$3:$D$64,2,FALSE),"0")</f>
        <v>0</v>
      </c>
      <c r="L191" s="10">
        <f t="shared" ref="L191:L210" si="19">J191*K191</f>
        <v>0</v>
      </c>
      <c r="M191" s="58" t="str">
        <f>IF(K191&gt;0,"SUBTOTAL:",0)</f>
        <v>SUBTOTAL:</v>
      </c>
      <c r="N191" s="59">
        <f>SUM(L191:L195)</f>
        <v>0</v>
      </c>
      <c r="O191" s="60"/>
      <c r="P191" s="61" t="str">
        <f>IF('Filtered Information'!$B$1&gt;=A191,"NO","YES")</f>
        <v>YES</v>
      </c>
      <c r="Q191" s="62"/>
      <c r="R191" s="38"/>
      <c r="S191" s="48"/>
      <c r="T191" s="48"/>
      <c r="U191" s="48"/>
      <c r="V191" s="48"/>
      <c r="AA191" s="63"/>
      <c r="AB191" s="63"/>
    </row>
    <row r="192" spans="1:28" hidden="1">
      <c r="A192" s="64" t="str">
        <f>IFERROR(VLOOKUP(A191,'Filtered Information'!$A$3:$E$66,4,FALSE),"-")</f>
        <v>-</v>
      </c>
      <c r="B192" s="27" t="s">
        <v>55</v>
      </c>
      <c r="C192" s="11"/>
      <c r="D192" s="11"/>
      <c r="E192" s="11"/>
      <c r="F192" s="11"/>
      <c r="G192" s="11"/>
      <c r="H192" s="11"/>
      <c r="I192" s="11"/>
      <c r="J192" s="12">
        <f t="shared" si="18"/>
        <v>0</v>
      </c>
      <c r="K192" s="65">
        <f>IF(J192&gt;0,K191*1.5,)</f>
        <v>0</v>
      </c>
      <c r="L192" s="13">
        <f t="shared" si="19"/>
        <v>0</v>
      </c>
      <c r="M192" s="66" t="s">
        <v>56</v>
      </c>
      <c r="N192" s="67">
        <f>N191*0.08</f>
        <v>0</v>
      </c>
      <c r="O192" s="68"/>
      <c r="P192" s="69" t="str">
        <f>IF('Filtered Information'!$B$1&gt;=A191,"NO","YES")</f>
        <v>YES</v>
      </c>
    </row>
    <row r="193" spans="1:28" hidden="1">
      <c r="A193" s="64" t="str">
        <f>IFERROR(VLOOKUP(A191,'Filtered Information'!$A$3:$E$66,3,FALSE),"-")</f>
        <v>-</v>
      </c>
      <c r="B193" s="27" t="s">
        <v>57</v>
      </c>
      <c r="C193" s="11"/>
      <c r="D193" s="11"/>
      <c r="E193" s="11"/>
      <c r="F193" s="11"/>
      <c r="G193" s="11"/>
      <c r="H193" s="11"/>
      <c r="I193" s="11"/>
      <c r="J193" s="12">
        <f t="shared" si="18"/>
        <v>0</v>
      </c>
      <c r="K193" s="65">
        <f>IF(J193&gt;0,K191*2,)</f>
        <v>0</v>
      </c>
      <c r="L193" s="13">
        <f t="shared" si="19"/>
        <v>0</v>
      </c>
      <c r="M193" s="70" t="str">
        <f>IF(K191&gt;0,"TOTAL WAGE:",0)</f>
        <v>TOTAL WAGE:</v>
      </c>
      <c r="N193" s="71">
        <f>N191+N192</f>
        <v>0</v>
      </c>
      <c r="O193" s="48">
        <f>N193</f>
        <v>0</v>
      </c>
      <c r="P193" s="69" t="str">
        <f>IF('Filtered Information'!$B$1&gt;=A191,"NO","YES")</f>
        <v>YES</v>
      </c>
    </row>
    <row r="194" spans="1:28" hidden="1">
      <c r="A194" s="82" t="str">
        <f>IFERROR(VLOOKUP(A191,'Filtered Information'!$A$3:$E$64,5,FALSE),"-")</f>
        <v>-</v>
      </c>
      <c r="B194" s="27" t="s">
        <v>58</v>
      </c>
      <c r="C194" s="11"/>
      <c r="D194" s="11"/>
      <c r="E194" s="11"/>
      <c r="F194" s="11"/>
      <c r="G194" s="11"/>
      <c r="H194" s="11"/>
      <c r="I194" s="11"/>
      <c r="J194" s="12">
        <f t="shared" si="18"/>
        <v>0</v>
      </c>
      <c r="K194" s="65"/>
      <c r="L194" s="13">
        <f t="shared" si="19"/>
        <v>0</v>
      </c>
      <c r="M194" s="72"/>
      <c r="N194" s="73"/>
      <c r="P194" s="69" t="str">
        <f>IF('Filtered Information'!$B$1&gt;=A191,"NO","YES")</f>
        <v>YES</v>
      </c>
      <c r="R194" s="74"/>
      <c r="S194" s="75"/>
      <c r="T194" s="75"/>
      <c r="U194" s="75"/>
      <c r="V194" s="75"/>
    </row>
    <row r="195" spans="1:28" s="74" customFormat="1" ht="13.5" hidden="1" thickBot="1">
      <c r="A195" s="76"/>
      <c r="B195" s="46" t="s">
        <v>60</v>
      </c>
      <c r="C195" s="14"/>
      <c r="D195" s="14"/>
      <c r="E195" s="14"/>
      <c r="F195" s="14"/>
      <c r="G195" s="14"/>
      <c r="H195" s="14"/>
      <c r="I195" s="14"/>
      <c r="J195" s="15">
        <f t="shared" si="18"/>
        <v>0</v>
      </c>
      <c r="K195" s="77">
        <f>IF(J195&gt;0,K191,)</f>
        <v>0</v>
      </c>
      <c r="L195" s="16">
        <f t="shared" si="19"/>
        <v>0</v>
      </c>
      <c r="M195" s="78" t="str">
        <f>IF(K191&gt;0,"UNION 3.5%:",0)</f>
        <v>UNION 3.5%:</v>
      </c>
      <c r="N195" s="79">
        <f>N193*0.035</f>
        <v>0</v>
      </c>
      <c r="O195" s="75"/>
      <c r="P195" s="80" t="str">
        <f>IF('Filtered Information'!$B$1&gt;=A191,"NO","YES")</f>
        <v>YES</v>
      </c>
      <c r="R195" s="38"/>
      <c r="S195" s="48"/>
      <c r="T195" s="48"/>
      <c r="U195" s="48"/>
      <c r="V195" s="48"/>
      <c r="AA195" s="81"/>
      <c r="AB195" s="81"/>
    </row>
    <row r="196" spans="1:28" s="53" customFormat="1" ht="13.5" hidden="1" thickTop="1">
      <c r="A196" s="55">
        <f>A191+1</f>
        <v>38</v>
      </c>
      <c r="B196" s="56" t="s">
        <v>54</v>
      </c>
      <c r="C196" s="8"/>
      <c r="D196" s="8"/>
      <c r="E196" s="8"/>
      <c r="F196" s="8"/>
      <c r="G196" s="8"/>
      <c r="H196" s="8"/>
      <c r="I196" s="8"/>
      <c r="J196" s="9">
        <f t="shared" si="18"/>
        <v>0</v>
      </c>
      <c r="K196" s="57" t="str">
        <f>IFERROR(VLOOKUP(A196,'Filtered Information'!$A$3:$D$64,2,FALSE),"0")</f>
        <v>0</v>
      </c>
      <c r="L196" s="10">
        <f t="shared" si="19"/>
        <v>0</v>
      </c>
      <c r="M196" s="58" t="str">
        <f>IF(K196&gt;0,"SUBTOTAL:",0)</f>
        <v>SUBTOTAL:</v>
      </c>
      <c r="N196" s="59">
        <f>SUM(L196:L200)</f>
        <v>0</v>
      </c>
      <c r="O196" s="60"/>
      <c r="P196" s="61" t="str">
        <f>IF('Filtered Information'!$B$1&gt;=A196,"NO","YES")</f>
        <v>YES</v>
      </c>
      <c r="Q196" s="62"/>
      <c r="R196" s="38"/>
      <c r="S196" s="48"/>
      <c r="T196" s="48"/>
      <c r="U196" s="48"/>
      <c r="V196" s="48"/>
      <c r="AA196" s="63"/>
      <c r="AB196" s="63"/>
    </row>
    <row r="197" spans="1:28" hidden="1">
      <c r="A197" s="64" t="str">
        <f>IFERROR(VLOOKUP(A196,'Filtered Information'!$A$3:$E$66,4,FALSE),"-")</f>
        <v>-</v>
      </c>
      <c r="B197" s="27" t="s">
        <v>55</v>
      </c>
      <c r="C197" s="11"/>
      <c r="D197" s="11"/>
      <c r="E197" s="11"/>
      <c r="F197" s="11"/>
      <c r="G197" s="11"/>
      <c r="H197" s="11"/>
      <c r="I197" s="11"/>
      <c r="J197" s="12">
        <f t="shared" si="18"/>
        <v>0</v>
      </c>
      <c r="K197" s="65">
        <f>IF(J197&gt;0,K196*1.5,)</f>
        <v>0</v>
      </c>
      <c r="L197" s="13">
        <f t="shared" si="19"/>
        <v>0</v>
      </c>
      <c r="M197" s="66" t="s">
        <v>56</v>
      </c>
      <c r="N197" s="67">
        <f>N196*0.08</f>
        <v>0</v>
      </c>
      <c r="O197" s="68"/>
      <c r="P197" s="69" t="str">
        <f>IF('Filtered Information'!$B$1&gt;=A196,"NO","YES")</f>
        <v>YES</v>
      </c>
    </row>
    <row r="198" spans="1:28" hidden="1">
      <c r="A198" s="64" t="str">
        <f>IFERROR(VLOOKUP(A196,'Filtered Information'!$A$3:$E$66,3,FALSE),"-")</f>
        <v>-</v>
      </c>
      <c r="B198" s="27" t="s">
        <v>57</v>
      </c>
      <c r="C198" s="11"/>
      <c r="D198" s="11"/>
      <c r="E198" s="11"/>
      <c r="F198" s="11"/>
      <c r="G198" s="11"/>
      <c r="H198" s="11"/>
      <c r="I198" s="11"/>
      <c r="J198" s="12">
        <f t="shared" si="18"/>
        <v>0</v>
      </c>
      <c r="K198" s="65">
        <f>IF(J198&gt;0,K196*2,)</f>
        <v>0</v>
      </c>
      <c r="L198" s="13">
        <f t="shared" si="19"/>
        <v>0</v>
      </c>
      <c r="M198" s="70" t="str">
        <f>IF(K196&gt;0,"TOTAL WAGE:",0)</f>
        <v>TOTAL WAGE:</v>
      </c>
      <c r="N198" s="71">
        <f>N196+N197</f>
        <v>0</v>
      </c>
      <c r="O198" s="48">
        <f>N198</f>
        <v>0</v>
      </c>
      <c r="P198" s="69" t="str">
        <f>IF('Filtered Information'!$B$1&gt;=A196,"NO","YES")</f>
        <v>YES</v>
      </c>
    </row>
    <row r="199" spans="1:28" hidden="1">
      <c r="A199" s="82" t="str">
        <f>IFERROR(VLOOKUP(A196,'Filtered Information'!$A$3:$E$64,5,FALSE),"-")</f>
        <v>-</v>
      </c>
      <c r="B199" s="27" t="s">
        <v>58</v>
      </c>
      <c r="C199" s="11"/>
      <c r="D199" s="11"/>
      <c r="E199" s="11"/>
      <c r="F199" s="11"/>
      <c r="G199" s="11"/>
      <c r="H199" s="11"/>
      <c r="I199" s="11"/>
      <c r="J199" s="12">
        <f t="shared" si="18"/>
        <v>0</v>
      </c>
      <c r="K199" s="65"/>
      <c r="L199" s="13">
        <f t="shared" si="19"/>
        <v>0</v>
      </c>
      <c r="M199" s="72"/>
      <c r="N199" s="73"/>
      <c r="P199" s="69" t="str">
        <f>IF('Filtered Information'!$B$1&gt;=A196,"NO","YES")</f>
        <v>YES</v>
      </c>
      <c r="R199" s="74"/>
      <c r="S199" s="75"/>
      <c r="T199" s="75"/>
      <c r="U199" s="75"/>
      <c r="V199" s="75"/>
    </row>
    <row r="200" spans="1:28" s="74" customFormat="1" ht="13.5" hidden="1" thickBot="1">
      <c r="A200" s="83"/>
      <c r="B200" s="46" t="s">
        <v>60</v>
      </c>
      <c r="C200" s="14"/>
      <c r="D200" s="14"/>
      <c r="E200" s="14"/>
      <c r="F200" s="14"/>
      <c r="G200" s="14"/>
      <c r="H200" s="14"/>
      <c r="I200" s="14"/>
      <c r="J200" s="15">
        <f t="shared" si="18"/>
        <v>0</v>
      </c>
      <c r="K200" s="77">
        <f>IF(J200&gt;0,K196,)</f>
        <v>0</v>
      </c>
      <c r="L200" s="16">
        <f t="shared" si="19"/>
        <v>0</v>
      </c>
      <c r="M200" s="78" t="str">
        <f>IF(K196&gt;0,"UNION 3.5%:",0)</f>
        <v>UNION 3.5%:</v>
      </c>
      <c r="N200" s="79">
        <f>N198*0.035</f>
        <v>0</v>
      </c>
      <c r="O200" s="75"/>
      <c r="P200" s="80" t="str">
        <f>IF('Filtered Information'!$B$1&gt;=A196,"NO","YES")</f>
        <v>YES</v>
      </c>
      <c r="R200" s="38"/>
      <c r="S200" s="48"/>
      <c r="T200" s="48"/>
      <c r="U200" s="48"/>
      <c r="V200" s="48"/>
      <c r="AA200" s="81"/>
      <c r="AB200" s="81"/>
    </row>
    <row r="201" spans="1:28" s="53" customFormat="1" ht="13.5" hidden="1" thickTop="1">
      <c r="A201" s="55">
        <f>A196+1</f>
        <v>39</v>
      </c>
      <c r="B201" s="56" t="s">
        <v>54</v>
      </c>
      <c r="C201" s="8"/>
      <c r="D201" s="8"/>
      <c r="E201" s="8"/>
      <c r="F201" s="8"/>
      <c r="G201" s="8"/>
      <c r="H201" s="8"/>
      <c r="I201" s="8"/>
      <c r="J201" s="9">
        <f t="shared" si="18"/>
        <v>0</v>
      </c>
      <c r="K201" s="57" t="str">
        <f>IFERROR(VLOOKUP(A201,'Filtered Information'!$A$3:$D$64,2,FALSE),"0")</f>
        <v>0</v>
      </c>
      <c r="L201" s="10">
        <f t="shared" si="19"/>
        <v>0</v>
      </c>
      <c r="M201" s="58" t="str">
        <f>IF(K201&gt;0,"SUBTOTAL:",0)</f>
        <v>SUBTOTAL:</v>
      </c>
      <c r="N201" s="59">
        <f>SUM(L201:L205)</f>
        <v>0</v>
      </c>
      <c r="O201" s="60"/>
      <c r="P201" s="61" t="str">
        <f>IF('Filtered Information'!$B$1&gt;=A201,"NO","YES")</f>
        <v>YES</v>
      </c>
      <c r="Q201" s="62"/>
      <c r="R201" s="38"/>
      <c r="S201" s="48"/>
      <c r="T201" s="48"/>
      <c r="U201" s="48"/>
      <c r="V201" s="48"/>
      <c r="AA201" s="63"/>
      <c r="AB201" s="63"/>
    </row>
    <row r="202" spans="1:28" hidden="1">
      <c r="A202" s="64" t="str">
        <f>IFERROR(VLOOKUP(A201,'Filtered Information'!$A$3:$E$66,4,FALSE),"-")</f>
        <v>-</v>
      </c>
      <c r="B202" s="27" t="s">
        <v>55</v>
      </c>
      <c r="C202" s="11"/>
      <c r="D202" s="11"/>
      <c r="E202" s="11"/>
      <c r="F202" s="11"/>
      <c r="G202" s="11"/>
      <c r="H202" s="11"/>
      <c r="I202" s="11"/>
      <c r="J202" s="12">
        <f t="shared" si="18"/>
        <v>0</v>
      </c>
      <c r="K202" s="65">
        <f>IF(J202&gt;0,K201*1.5,)</f>
        <v>0</v>
      </c>
      <c r="L202" s="13">
        <f t="shared" si="19"/>
        <v>0</v>
      </c>
      <c r="M202" s="66" t="s">
        <v>56</v>
      </c>
      <c r="N202" s="67">
        <f>N201*0.08</f>
        <v>0</v>
      </c>
      <c r="O202" s="68"/>
      <c r="P202" s="69" t="str">
        <f>IF('Filtered Information'!$B$1&gt;=A201,"NO","YES")</f>
        <v>YES</v>
      </c>
    </row>
    <row r="203" spans="1:28" hidden="1">
      <c r="A203" s="64" t="str">
        <f>IFERROR(VLOOKUP(A201,'Filtered Information'!$A$3:$E$66,3,FALSE),"-")</f>
        <v>-</v>
      </c>
      <c r="B203" s="27" t="s">
        <v>57</v>
      </c>
      <c r="C203" s="11"/>
      <c r="D203" s="11"/>
      <c r="E203" s="11"/>
      <c r="F203" s="11"/>
      <c r="G203" s="11"/>
      <c r="H203" s="11"/>
      <c r="I203" s="11"/>
      <c r="J203" s="12">
        <f t="shared" si="18"/>
        <v>0</v>
      </c>
      <c r="K203" s="65">
        <f>IF(J203&gt;0,K201*2,)</f>
        <v>0</v>
      </c>
      <c r="L203" s="13">
        <f t="shared" si="19"/>
        <v>0</v>
      </c>
      <c r="M203" s="70" t="str">
        <f>IF(K201&gt;0,"TOTAL WAGE:",0)</f>
        <v>TOTAL WAGE:</v>
      </c>
      <c r="N203" s="71">
        <f>N201+N202</f>
        <v>0</v>
      </c>
      <c r="O203" s="48">
        <f>N203</f>
        <v>0</v>
      </c>
      <c r="P203" s="69" t="str">
        <f>IF('Filtered Information'!$B$1&gt;=A201,"NO","YES")</f>
        <v>YES</v>
      </c>
    </row>
    <row r="204" spans="1:28" hidden="1">
      <c r="A204" s="82" t="str">
        <f>IFERROR(VLOOKUP(A201,'Filtered Information'!$A$3:$E$64,5,FALSE),"-")</f>
        <v>-</v>
      </c>
      <c r="B204" s="27" t="s">
        <v>58</v>
      </c>
      <c r="C204" s="11"/>
      <c r="D204" s="11"/>
      <c r="E204" s="11"/>
      <c r="F204" s="11"/>
      <c r="G204" s="11"/>
      <c r="H204" s="11"/>
      <c r="I204" s="11"/>
      <c r="J204" s="12">
        <f t="shared" si="18"/>
        <v>0</v>
      </c>
      <c r="K204" s="65"/>
      <c r="L204" s="13">
        <f t="shared" si="19"/>
        <v>0</v>
      </c>
      <c r="M204" s="72"/>
      <c r="N204" s="73"/>
      <c r="P204" s="69" t="str">
        <f>IF('Filtered Information'!$B$1&gt;=A201,"NO","YES")</f>
        <v>YES</v>
      </c>
      <c r="R204" s="74"/>
      <c r="S204" s="75"/>
      <c r="T204" s="75"/>
      <c r="U204" s="75"/>
      <c r="V204" s="75"/>
    </row>
    <row r="205" spans="1:28" s="74" customFormat="1" ht="13.5" hidden="1" thickBot="1">
      <c r="A205" s="83"/>
      <c r="B205" s="46" t="s">
        <v>60</v>
      </c>
      <c r="C205" s="14"/>
      <c r="D205" s="14"/>
      <c r="E205" s="14"/>
      <c r="F205" s="14"/>
      <c r="G205" s="14"/>
      <c r="H205" s="14"/>
      <c r="I205" s="14"/>
      <c r="J205" s="15">
        <f t="shared" si="18"/>
        <v>0</v>
      </c>
      <c r="K205" s="77">
        <f>IF(J205&gt;0,K201,)</f>
        <v>0</v>
      </c>
      <c r="L205" s="16">
        <f t="shared" si="19"/>
        <v>0</v>
      </c>
      <c r="M205" s="78" t="str">
        <f>IF(K201&gt;0,"UNION 3.5%:",0)</f>
        <v>UNION 3.5%:</v>
      </c>
      <c r="N205" s="79">
        <f>N203*0.035</f>
        <v>0</v>
      </c>
      <c r="O205" s="75"/>
      <c r="P205" s="80" t="str">
        <f>IF('Filtered Information'!$B$1&gt;=A201,"NO","YES")</f>
        <v>YES</v>
      </c>
      <c r="R205" s="38"/>
      <c r="S205" s="48"/>
      <c r="T205" s="48"/>
      <c r="U205" s="48"/>
      <c r="V205" s="48"/>
      <c r="AA205" s="81"/>
      <c r="AB205" s="81"/>
    </row>
    <row r="206" spans="1:28" s="53" customFormat="1" ht="13.5" hidden="1" thickTop="1">
      <c r="A206" s="55">
        <f>A201+1</f>
        <v>40</v>
      </c>
      <c r="B206" s="56" t="s">
        <v>54</v>
      </c>
      <c r="C206" s="8"/>
      <c r="D206" s="8"/>
      <c r="E206" s="8"/>
      <c r="F206" s="8"/>
      <c r="G206" s="8"/>
      <c r="H206" s="8"/>
      <c r="I206" s="8"/>
      <c r="J206" s="9">
        <f t="shared" si="18"/>
        <v>0</v>
      </c>
      <c r="K206" s="57" t="str">
        <f>IFERROR(VLOOKUP(A206,'Filtered Information'!$A$3:$D$64,2,FALSE),"0")</f>
        <v>0</v>
      </c>
      <c r="L206" s="10">
        <f t="shared" si="19"/>
        <v>0</v>
      </c>
      <c r="M206" s="58" t="str">
        <f>IF(K206&gt;0,"SUBTOTAL:",0)</f>
        <v>SUBTOTAL:</v>
      </c>
      <c r="N206" s="59">
        <f>SUM(L206:L210)</f>
        <v>0</v>
      </c>
      <c r="O206" s="60"/>
      <c r="P206" s="61" t="str">
        <f>IF('Filtered Information'!$B$1&gt;=A206,"NO","YES")</f>
        <v>YES</v>
      </c>
      <c r="Q206" s="62"/>
      <c r="R206" s="38"/>
      <c r="S206" s="48"/>
      <c r="T206" s="48"/>
      <c r="U206" s="48"/>
      <c r="V206" s="48"/>
      <c r="AA206" s="63"/>
      <c r="AB206" s="63"/>
    </row>
    <row r="207" spans="1:28" hidden="1">
      <c r="A207" s="64" t="str">
        <f>IFERROR(VLOOKUP(A206,'Filtered Information'!$A$3:$E$66,4,FALSE),"-")</f>
        <v>-</v>
      </c>
      <c r="B207" s="27" t="s">
        <v>55</v>
      </c>
      <c r="C207" s="11"/>
      <c r="D207" s="11"/>
      <c r="E207" s="11"/>
      <c r="F207" s="11"/>
      <c r="G207" s="11"/>
      <c r="H207" s="11"/>
      <c r="I207" s="11"/>
      <c r="J207" s="12">
        <f t="shared" si="18"/>
        <v>0</v>
      </c>
      <c r="K207" s="65">
        <f>IF(J207&gt;0,K206*1.5,)</f>
        <v>0</v>
      </c>
      <c r="L207" s="13">
        <f t="shared" si="19"/>
        <v>0</v>
      </c>
      <c r="M207" s="66" t="s">
        <v>56</v>
      </c>
      <c r="N207" s="67">
        <f>N206*0.08</f>
        <v>0</v>
      </c>
      <c r="O207" s="68"/>
      <c r="P207" s="69" t="str">
        <f>IF('Filtered Information'!$B$1&gt;=A206,"NO","YES")</f>
        <v>YES</v>
      </c>
    </row>
    <row r="208" spans="1:28" hidden="1">
      <c r="A208" s="64" t="str">
        <f>IFERROR(VLOOKUP(A206,'Filtered Information'!$A$3:$E$66,3,FALSE),"-")</f>
        <v>-</v>
      </c>
      <c r="B208" s="27" t="s">
        <v>57</v>
      </c>
      <c r="C208" s="11"/>
      <c r="D208" s="11"/>
      <c r="E208" s="11"/>
      <c r="F208" s="11"/>
      <c r="G208" s="11"/>
      <c r="H208" s="11"/>
      <c r="I208" s="11"/>
      <c r="J208" s="12">
        <f t="shared" si="18"/>
        <v>0</v>
      </c>
      <c r="K208" s="65">
        <f>IF(J208&gt;0,K206*2,)</f>
        <v>0</v>
      </c>
      <c r="L208" s="13">
        <f t="shared" si="19"/>
        <v>0</v>
      </c>
      <c r="M208" s="70" t="str">
        <f>IF(K206&gt;0,"TOTAL WAGE:",0)</f>
        <v>TOTAL WAGE:</v>
      </c>
      <c r="N208" s="71">
        <f>N206+N207</f>
        <v>0</v>
      </c>
      <c r="O208" s="48">
        <f>N208</f>
        <v>0</v>
      </c>
      <c r="P208" s="69" t="str">
        <f>IF('Filtered Information'!$B$1&gt;=A206,"NO","YES")</f>
        <v>YES</v>
      </c>
    </row>
    <row r="209" spans="1:28" hidden="1">
      <c r="A209" s="82" t="str">
        <f>IFERROR(VLOOKUP(A206,'Filtered Information'!$A$3:$E$64,5,FALSE),"-")</f>
        <v>-</v>
      </c>
      <c r="B209" s="27" t="s">
        <v>58</v>
      </c>
      <c r="C209" s="11"/>
      <c r="D209" s="11"/>
      <c r="E209" s="11"/>
      <c r="F209" s="11"/>
      <c r="G209" s="11"/>
      <c r="H209" s="11"/>
      <c r="I209" s="11"/>
      <c r="J209" s="12">
        <f t="shared" si="18"/>
        <v>0</v>
      </c>
      <c r="K209" s="65"/>
      <c r="L209" s="13">
        <f t="shared" si="19"/>
        <v>0</v>
      </c>
      <c r="M209" s="72"/>
      <c r="N209" s="73"/>
      <c r="P209" s="69" t="str">
        <f>IF('Filtered Information'!$B$1&gt;=A206,"NO","YES")</f>
        <v>YES</v>
      </c>
      <c r="R209" s="74"/>
      <c r="S209" s="75"/>
      <c r="T209" s="75"/>
      <c r="U209" s="75"/>
      <c r="V209" s="75"/>
    </row>
    <row r="210" spans="1:28" s="74" customFormat="1" ht="13.5" hidden="1" thickBot="1">
      <c r="A210" s="83"/>
      <c r="B210" s="46" t="s">
        <v>60</v>
      </c>
      <c r="C210" s="14"/>
      <c r="D210" s="14"/>
      <c r="E210" s="14"/>
      <c r="F210" s="14"/>
      <c r="G210" s="14"/>
      <c r="H210" s="14"/>
      <c r="I210" s="14"/>
      <c r="J210" s="15">
        <f t="shared" si="18"/>
        <v>0</v>
      </c>
      <c r="K210" s="77">
        <f>IF(J210&gt;0,K206,)</f>
        <v>0</v>
      </c>
      <c r="L210" s="16">
        <f t="shared" si="19"/>
        <v>0</v>
      </c>
      <c r="M210" s="78" t="str">
        <f>IF(K206&gt;0,"UNION 3.5%:",0)</f>
        <v>UNION 3.5%:</v>
      </c>
      <c r="N210" s="79">
        <f>N208*0.035</f>
        <v>0</v>
      </c>
      <c r="O210" s="75"/>
      <c r="P210" s="80" t="str">
        <f>IF('Filtered Information'!$B$1&gt;=A206,"NO","YES")</f>
        <v>YES</v>
      </c>
      <c r="R210" s="38"/>
      <c r="S210" s="48"/>
      <c r="T210" s="48"/>
      <c r="U210" s="48"/>
      <c r="V210" s="48"/>
      <c r="AA210" s="81"/>
      <c r="AB210" s="81"/>
    </row>
    <row r="211" spans="1:28" s="53" customFormat="1" ht="13.5" hidden="1" thickTop="1">
      <c r="A211" s="55">
        <f>A206+1</f>
        <v>41</v>
      </c>
      <c r="B211" s="56" t="s">
        <v>54</v>
      </c>
      <c r="C211" s="8"/>
      <c r="D211" s="8"/>
      <c r="E211" s="8"/>
      <c r="F211" s="8"/>
      <c r="G211" s="8"/>
      <c r="H211" s="8"/>
      <c r="I211" s="8"/>
      <c r="J211" s="9">
        <f t="shared" ref="J211:J242" si="20">SUM(C211:I211)</f>
        <v>0</v>
      </c>
      <c r="K211" s="57" t="str">
        <f>IFERROR(VLOOKUP(A211,'Filtered Information'!$A$3:$D$64,2,FALSE),"0")</f>
        <v>0</v>
      </c>
      <c r="L211" s="10">
        <f t="shared" ref="L211:L242" si="21">J211*K211</f>
        <v>0</v>
      </c>
      <c r="M211" s="58" t="str">
        <f>IF(K211&gt;0,"SUBTOTAL:",0)</f>
        <v>SUBTOTAL:</v>
      </c>
      <c r="N211" s="59">
        <f>SUM(L211:L215)</f>
        <v>0</v>
      </c>
      <c r="O211" s="60"/>
      <c r="P211" s="61" t="str">
        <f>IF('Filtered Information'!$B$1&gt;=A211,"NO","YES")</f>
        <v>YES</v>
      </c>
      <c r="Q211" s="62"/>
      <c r="R211" s="38"/>
      <c r="S211" s="48"/>
      <c r="T211" s="48"/>
      <c r="U211" s="48"/>
      <c r="V211" s="48"/>
      <c r="AA211" s="63"/>
      <c r="AB211" s="63"/>
    </row>
    <row r="212" spans="1:28" hidden="1">
      <c r="A212" s="64" t="str">
        <f>IFERROR(VLOOKUP(A211,'Filtered Information'!$A$3:$E$66,4,FALSE),"-")</f>
        <v>-</v>
      </c>
      <c r="B212" s="27" t="s">
        <v>55</v>
      </c>
      <c r="C212" s="11"/>
      <c r="D212" s="11"/>
      <c r="E212" s="11"/>
      <c r="F212" s="11"/>
      <c r="G212" s="11"/>
      <c r="H212" s="11"/>
      <c r="I212" s="11"/>
      <c r="J212" s="12">
        <f t="shared" si="20"/>
        <v>0</v>
      </c>
      <c r="K212" s="65">
        <f>IF(J212&gt;0,K211*1.5,)</f>
        <v>0</v>
      </c>
      <c r="L212" s="13">
        <f t="shared" si="21"/>
        <v>0</v>
      </c>
      <c r="M212" s="66" t="s">
        <v>56</v>
      </c>
      <c r="N212" s="67">
        <f>N211*0.08</f>
        <v>0</v>
      </c>
      <c r="O212" s="68"/>
      <c r="P212" s="69" t="str">
        <f>IF('Filtered Information'!$B$1&gt;=A211,"NO","YES")</f>
        <v>YES</v>
      </c>
    </row>
    <row r="213" spans="1:28" hidden="1">
      <c r="A213" s="64" t="str">
        <f>IFERROR(VLOOKUP(A211,'Filtered Information'!$A$3:$E$66,3,FALSE),"-")</f>
        <v>-</v>
      </c>
      <c r="B213" s="27" t="s">
        <v>57</v>
      </c>
      <c r="C213" s="11"/>
      <c r="D213" s="11"/>
      <c r="E213" s="11"/>
      <c r="F213" s="11"/>
      <c r="G213" s="11"/>
      <c r="H213" s="11"/>
      <c r="I213" s="11"/>
      <c r="J213" s="12">
        <f t="shared" si="20"/>
        <v>0</v>
      </c>
      <c r="K213" s="65">
        <f>IF(J213&gt;0,K211*2,)</f>
        <v>0</v>
      </c>
      <c r="L213" s="13">
        <f t="shared" si="21"/>
        <v>0</v>
      </c>
      <c r="M213" s="70" t="str">
        <f>IF(K211&gt;0,"TOTAL WAGE:",0)</f>
        <v>TOTAL WAGE:</v>
      </c>
      <c r="N213" s="71">
        <f>N211+N212</f>
        <v>0</v>
      </c>
      <c r="O213" s="48">
        <f>N213</f>
        <v>0</v>
      </c>
      <c r="P213" s="69" t="str">
        <f>IF('Filtered Information'!$B$1&gt;=A211,"NO","YES")</f>
        <v>YES</v>
      </c>
    </row>
    <row r="214" spans="1:28" hidden="1">
      <c r="A214" s="82" t="str">
        <f>IFERROR(VLOOKUP(A211,'Filtered Information'!$A$3:$E$64,5,FALSE),"-")</f>
        <v>-</v>
      </c>
      <c r="B214" s="27" t="s">
        <v>58</v>
      </c>
      <c r="C214" s="11"/>
      <c r="D214" s="11"/>
      <c r="E214" s="11"/>
      <c r="F214" s="11"/>
      <c r="G214" s="11"/>
      <c r="H214" s="11"/>
      <c r="I214" s="11"/>
      <c r="J214" s="12">
        <f t="shared" si="20"/>
        <v>0</v>
      </c>
      <c r="K214" s="65"/>
      <c r="L214" s="13">
        <f t="shared" si="21"/>
        <v>0</v>
      </c>
      <c r="M214" s="72"/>
      <c r="N214" s="73"/>
      <c r="P214" s="69" t="str">
        <f>IF('Filtered Information'!$B$1&gt;=A211,"NO","YES")</f>
        <v>YES</v>
      </c>
      <c r="R214" s="74"/>
      <c r="S214" s="75"/>
      <c r="T214" s="75"/>
      <c r="U214" s="75"/>
      <c r="V214" s="75"/>
    </row>
    <row r="215" spans="1:28" s="74" customFormat="1" ht="13.5" hidden="1" thickBot="1">
      <c r="A215" s="83"/>
      <c r="B215" s="46" t="s">
        <v>60</v>
      </c>
      <c r="C215" s="14"/>
      <c r="D215" s="14"/>
      <c r="E215" s="14"/>
      <c r="F215" s="14"/>
      <c r="G215" s="14"/>
      <c r="H215" s="14"/>
      <c r="I215" s="14"/>
      <c r="J215" s="15">
        <f t="shared" si="20"/>
        <v>0</v>
      </c>
      <c r="K215" s="77">
        <f>IF(J215&gt;0,K211,)</f>
        <v>0</v>
      </c>
      <c r="L215" s="16">
        <f t="shared" si="21"/>
        <v>0</v>
      </c>
      <c r="M215" s="78" t="str">
        <f>IF(K211&gt;0,"UNION 3.5%:",0)</f>
        <v>UNION 3.5%:</v>
      </c>
      <c r="N215" s="79">
        <f>N213*0.035</f>
        <v>0</v>
      </c>
      <c r="O215" s="75"/>
      <c r="P215" s="80" t="str">
        <f>IF('Filtered Information'!$B$1&gt;=A211,"NO","YES")</f>
        <v>YES</v>
      </c>
      <c r="R215" s="38"/>
      <c r="S215" s="48"/>
      <c r="T215" s="48"/>
      <c r="U215" s="48"/>
      <c r="V215" s="48"/>
      <c r="AA215" s="81"/>
      <c r="AB215" s="81"/>
    </row>
    <row r="216" spans="1:28" s="53" customFormat="1" ht="13.5" hidden="1" thickTop="1">
      <c r="A216" s="55">
        <f>A211+1</f>
        <v>42</v>
      </c>
      <c r="B216" s="56" t="s">
        <v>54</v>
      </c>
      <c r="C216" s="8"/>
      <c r="D216" s="8"/>
      <c r="E216" s="8"/>
      <c r="F216" s="8"/>
      <c r="G216" s="8"/>
      <c r="H216" s="8"/>
      <c r="I216" s="8"/>
      <c r="J216" s="9">
        <f t="shared" si="20"/>
        <v>0</v>
      </c>
      <c r="K216" s="57" t="str">
        <f>IFERROR(VLOOKUP(A216,'Filtered Information'!$A$3:$D$64,2,FALSE),"0")</f>
        <v>0</v>
      </c>
      <c r="L216" s="10">
        <f t="shared" si="21"/>
        <v>0</v>
      </c>
      <c r="M216" s="58" t="str">
        <f>IF(K216&gt;0,"SUBTOTAL:",0)</f>
        <v>SUBTOTAL:</v>
      </c>
      <c r="N216" s="59">
        <f>SUM(L216:L220)</f>
        <v>0</v>
      </c>
      <c r="O216" s="60"/>
      <c r="P216" s="61" t="str">
        <f>IF('Filtered Information'!$B$1&gt;=A216,"NO","YES")</f>
        <v>YES</v>
      </c>
      <c r="Q216" s="62"/>
      <c r="R216" s="38"/>
      <c r="S216" s="48"/>
      <c r="T216" s="48"/>
      <c r="U216" s="48"/>
      <c r="V216" s="48"/>
      <c r="AA216" s="63"/>
      <c r="AB216" s="63"/>
    </row>
    <row r="217" spans="1:28" hidden="1">
      <c r="A217" s="64" t="str">
        <f>IFERROR(VLOOKUP(A216,'Filtered Information'!$A$3:$E$66,4,FALSE),"-")</f>
        <v>-</v>
      </c>
      <c r="B217" s="27" t="s">
        <v>55</v>
      </c>
      <c r="C217" s="11"/>
      <c r="D217" s="11"/>
      <c r="E217" s="11"/>
      <c r="F217" s="11"/>
      <c r="G217" s="11"/>
      <c r="H217" s="11"/>
      <c r="I217" s="11"/>
      <c r="J217" s="12">
        <f t="shared" si="20"/>
        <v>0</v>
      </c>
      <c r="K217" s="65">
        <f>IF(J217&gt;0,K216*1.5,)</f>
        <v>0</v>
      </c>
      <c r="L217" s="13">
        <f t="shared" si="21"/>
        <v>0</v>
      </c>
      <c r="M217" s="66" t="s">
        <v>56</v>
      </c>
      <c r="N217" s="67">
        <f>N216*0.08</f>
        <v>0</v>
      </c>
      <c r="O217" s="68"/>
      <c r="P217" s="69" t="str">
        <f>IF('Filtered Information'!$B$1&gt;=A216,"NO","YES")</f>
        <v>YES</v>
      </c>
    </row>
    <row r="218" spans="1:28" hidden="1">
      <c r="A218" s="64" t="str">
        <f>IFERROR(VLOOKUP(A216,'Filtered Information'!$A$3:$E$66,3,FALSE),"-")</f>
        <v>-</v>
      </c>
      <c r="B218" s="27" t="s">
        <v>57</v>
      </c>
      <c r="C218" s="11"/>
      <c r="D218" s="11"/>
      <c r="E218" s="11"/>
      <c r="F218" s="11"/>
      <c r="G218" s="11"/>
      <c r="H218" s="11"/>
      <c r="I218" s="11"/>
      <c r="J218" s="12">
        <f t="shared" si="20"/>
        <v>0</v>
      </c>
      <c r="K218" s="65">
        <f>IF(J218&gt;0,K216*2,)</f>
        <v>0</v>
      </c>
      <c r="L218" s="13">
        <f t="shared" si="21"/>
        <v>0</v>
      </c>
      <c r="M218" s="70" t="str">
        <f>IF(K216&gt;0,"TOTAL WAGE:",0)</f>
        <v>TOTAL WAGE:</v>
      </c>
      <c r="N218" s="71">
        <f>N216+N217</f>
        <v>0</v>
      </c>
      <c r="O218" s="48">
        <f>N218</f>
        <v>0</v>
      </c>
      <c r="P218" s="69" t="str">
        <f>IF('Filtered Information'!$B$1&gt;=A216,"NO","YES")</f>
        <v>YES</v>
      </c>
    </row>
    <row r="219" spans="1:28" hidden="1">
      <c r="A219" s="82" t="str">
        <f>IFERROR(VLOOKUP(A216,'Filtered Information'!$A$3:$E$64,5,FALSE),"-")</f>
        <v>-</v>
      </c>
      <c r="B219" s="27" t="s">
        <v>58</v>
      </c>
      <c r="C219" s="11"/>
      <c r="D219" s="11"/>
      <c r="E219" s="11"/>
      <c r="F219" s="11"/>
      <c r="G219" s="11"/>
      <c r="H219" s="11"/>
      <c r="I219" s="11"/>
      <c r="J219" s="12">
        <f t="shared" si="20"/>
        <v>0</v>
      </c>
      <c r="K219" s="65"/>
      <c r="L219" s="13">
        <f t="shared" si="21"/>
        <v>0</v>
      </c>
      <c r="M219" s="72"/>
      <c r="N219" s="73"/>
      <c r="P219" s="69" t="str">
        <f>IF('Filtered Information'!$B$1&gt;=A216,"NO","YES")</f>
        <v>YES</v>
      </c>
      <c r="R219" s="74"/>
      <c r="S219" s="75"/>
      <c r="T219" s="75"/>
      <c r="U219" s="75"/>
      <c r="V219" s="75"/>
    </row>
    <row r="220" spans="1:28" s="74" customFormat="1" ht="13.5" hidden="1" thickBot="1">
      <c r="A220" s="83"/>
      <c r="B220" s="46" t="s">
        <v>60</v>
      </c>
      <c r="C220" s="14"/>
      <c r="D220" s="14"/>
      <c r="E220" s="14"/>
      <c r="F220" s="14"/>
      <c r="G220" s="14"/>
      <c r="H220" s="14"/>
      <c r="I220" s="14"/>
      <c r="J220" s="15">
        <f t="shared" si="20"/>
        <v>0</v>
      </c>
      <c r="K220" s="77">
        <f>IF(J220&gt;0,K216,)</f>
        <v>0</v>
      </c>
      <c r="L220" s="16">
        <f t="shared" si="21"/>
        <v>0</v>
      </c>
      <c r="M220" s="78" t="str">
        <f>IF(K216&gt;0,"UNION 3.5%:",0)</f>
        <v>UNION 3.5%:</v>
      </c>
      <c r="N220" s="79">
        <f>N218*0.035</f>
        <v>0</v>
      </c>
      <c r="O220" s="75"/>
      <c r="P220" s="80" t="str">
        <f>IF('Filtered Information'!$B$1&gt;=A216,"NO","YES")</f>
        <v>YES</v>
      </c>
      <c r="R220" s="38"/>
      <c r="S220" s="48"/>
      <c r="T220" s="48"/>
      <c r="U220" s="48"/>
      <c r="V220" s="48"/>
      <c r="AA220" s="81"/>
      <c r="AB220" s="81"/>
    </row>
    <row r="221" spans="1:28" s="53" customFormat="1" ht="13.5" hidden="1" thickTop="1">
      <c r="A221" s="55">
        <f>A216+1</f>
        <v>43</v>
      </c>
      <c r="B221" s="56" t="s">
        <v>54</v>
      </c>
      <c r="C221" s="8"/>
      <c r="D221" s="8"/>
      <c r="E221" s="8"/>
      <c r="F221" s="8"/>
      <c r="G221" s="8"/>
      <c r="H221" s="8"/>
      <c r="I221" s="8"/>
      <c r="J221" s="9">
        <f t="shared" si="20"/>
        <v>0</v>
      </c>
      <c r="K221" s="57" t="str">
        <f>IFERROR(VLOOKUP(A221,'Filtered Information'!$A$3:$D$64,2,FALSE),"0")</f>
        <v>0</v>
      </c>
      <c r="L221" s="10">
        <f t="shared" si="21"/>
        <v>0</v>
      </c>
      <c r="M221" s="58" t="str">
        <f>IF(K221&gt;0,"SUBTOTAL:",0)</f>
        <v>SUBTOTAL:</v>
      </c>
      <c r="N221" s="59">
        <f>SUM(L221:L225)</f>
        <v>0</v>
      </c>
      <c r="O221" s="60"/>
      <c r="P221" s="61" t="str">
        <f>IF('Filtered Information'!$B$1&gt;=A221,"NO","YES")</f>
        <v>YES</v>
      </c>
      <c r="Q221" s="62"/>
      <c r="R221" s="38"/>
      <c r="S221" s="48"/>
      <c r="T221" s="48"/>
      <c r="U221" s="48"/>
      <c r="V221" s="48"/>
      <c r="AA221" s="63"/>
      <c r="AB221" s="63"/>
    </row>
    <row r="222" spans="1:28" hidden="1">
      <c r="A222" s="64" t="str">
        <f>IFERROR(VLOOKUP(A221,'Filtered Information'!$A$3:$E$66,4,FALSE),"-")</f>
        <v>-</v>
      </c>
      <c r="B222" s="27" t="s">
        <v>55</v>
      </c>
      <c r="C222" s="11"/>
      <c r="D222" s="11"/>
      <c r="E222" s="11"/>
      <c r="F222" s="11"/>
      <c r="G222" s="11"/>
      <c r="H222" s="11"/>
      <c r="I222" s="11"/>
      <c r="J222" s="12">
        <f t="shared" si="20"/>
        <v>0</v>
      </c>
      <c r="K222" s="65">
        <f>IF(J222&gt;0,K221*1.5,)</f>
        <v>0</v>
      </c>
      <c r="L222" s="13">
        <f t="shared" si="21"/>
        <v>0</v>
      </c>
      <c r="M222" s="66" t="s">
        <v>56</v>
      </c>
      <c r="N222" s="67">
        <f>N221*0.08</f>
        <v>0</v>
      </c>
      <c r="O222" s="68"/>
      <c r="P222" s="69" t="str">
        <f>IF('Filtered Information'!$B$1&gt;=A221,"NO","YES")</f>
        <v>YES</v>
      </c>
    </row>
    <row r="223" spans="1:28" hidden="1">
      <c r="A223" s="64" t="str">
        <f>IFERROR(VLOOKUP(A221,'Filtered Information'!$A$3:$E$66,3,FALSE),"-")</f>
        <v>-</v>
      </c>
      <c r="B223" s="27" t="s">
        <v>57</v>
      </c>
      <c r="C223" s="11"/>
      <c r="D223" s="11"/>
      <c r="E223" s="11"/>
      <c r="F223" s="11"/>
      <c r="G223" s="11"/>
      <c r="H223" s="11"/>
      <c r="I223" s="11"/>
      <c r="J223" s="12">
        <f t="shared" si="20"/>
        <v>0</v>
      </c>
      <c r="K223" s="65">
        <f>IF(J223&gt;0,K221*2,)</f>
        <v>0</v>
      </c>
      <c r="L223" s="13">
        <f t="shared" si="21"/>
        <v>0</v>
      </c>
      <c r="M223" s="70" t="str">
        <f>IF(K221&gt;0,"TOTAL WAGE:",0)</f>
        <v>TOTAL WAGE:</v>
      </c>
      <c r="N223" s="71">
        <f>N221+N222</f>
        <v>0</v>
      </c>
      <c r="O223" s="48">
        <f>N223</f>
        <v>0</v>
      </c>
      <c r="P223" s="69" t="str">
        <f>IF('Filtered Information'!$B$1&gt;=A221,"NO","YES")</f>
        <v>YES</v>
      </c>
    </row>
    <row r="224" spans="1:28" hidden="1">
      <c r="A224" s="82" t="str">
        <f>IFERROR(VLOOKUP(A221,'Filtered Information'!$A$3:$E$64,5,FALSE),"-")</f>
        <v>-</v>
      </c>
      <c r="B224" s="27" t="s">
        <v>58</v>
      </c>
      <c r="C224" s="11"/>
      <c r="D224" s="11"/>
      <c r="E224" s="11"/>
      <c r="F224" s="11"/>
      <c r="G224" s="11"/>
      <c r="H224" s="11"/>
      <c r="I224" s="11"/>
      <c r="J224" s="12">
        <f t="shared" si="20"/>
        <v>0</v>
      </c>
      <c r="K224" s="65"/>
      <c r="L224" s="13">
        <f t="shared" si="21"/>
        <v>0</v>
      </c>
      <c r="M224" s="72"/>
      <c r="N224" s="73"/>
      <c r="P224" s="69" t="str">
        <f>IF('Filtered Information'!$B$1&gt;=A221,"NO","YES")</f>
        <v>YES</v>
      </c>
      <c r="R224" s="74"/>
      <c r="S224" s="75"/>
      <c r="T224" s="75"/>
      <c r="U224" s="75"/>
      <c r="V224" s="75"/>
    </row>
    <row r="225" spans="1:28" s="74" customFormat="1" ht="13.5" hidden="1" thickBot="1">
      <c r="A225" s="83"/>
      <c r="B225" s="46" t="s">
        <v>60</v>
      </c>
      <c r="C225" s="14"/>
      <c r="D225" s="14"/>
      <c r="E225" s="14"/>
      <c r="F225" s="14"/>
      <c r="G225" s="14"/>
      <c r="H225" s="14"/>
      <c r="I225" s="14"/>
      <c r="J225" s="15">
        <f t="shared" si="20"/>
        <v>0</v>
      </c>
      <c r="K225" s="77">
        <f>IF(J225&gt;0,K221,)</f>
        <v>0</v>
      </c>
      <c r="L225" s="16">
        <f t="shared" si="21"/>
        <v>0</v>
      </c>
      <c r="M225" s="78" t="str">
        <f>IF(K221&gt;0,"UNION 3.5%:",0)</f>
        <v>UNION 3.5%:</v>
      </c>
      <c r="N225" s="79">
        <f>N223*0.035</f>
        <v>0</v>
      </c>
      <c r="O225" s="75"/>
      <c r="P225" s="80" t="str">
        <f>IF('Filtered Information'!$B$1&gt;=A221,"NO","YES")</f>
        <v>YES</v>
      </c>
      <c r="R225" s="38"/>
      <c r="S225" s="48"/>
      <c r="T225" s="48"/>
      <c r="U225" s="48"/>
      <c r="V225" s="48"/>
      <c r="AA225" s="81"/>
      <c r="AB225" s="81"/>
    </row>
    <row r="226" spans="1:28" s="53" customFormat="1" ht="13.5" hidden="1" thickTop="1">
      <c r="A226" s="55">
        <f>A221+1</f>
        <v>44</v>
      </c>
      <c r="B226" s="56" t="s">
        <v>54</v>
      </c>
      <c r="C226" s="8"/>
      <c r="D226" s="8"/>
      <c r="E226" s="8"/>
      <c r="F226" s="8"/>
      <c r="G226" s="8"/>
      <c r="H226" s="8"/>
      <c r="I226" s="8"/>
      <c r="J226" s="9">
        <f t="shared" si="20"/>
        <v>0</v>
      </c>
      <c r="K226" s="57" t="str">
        <f>IFERROR(VLOOKUP(A226,'Filtered Information'!$A$3:$D$64,2,FALSE),"0")</f>
        <v>0</v>
      </c>
      <c r="L226" s="10">
        <f t="shared" si="21"/>
        <v>0</v>
      </c>
      <c r="M226" s="58" t="str">
        <f>IF(K226&gt;0,"SUBTOTAL:",0)</f>
        <v>SUBTOTAL:</v>
      </c>
      <c r="N226" s="59">
        <f>SUM(L226:L230)</f>
        <v>0</v>
      </c>
      <c r="O226" s="60"/>
      <c r="P226" s="61" t="str">
        <f>IF('Filtered Information'!$B$1&gt;=A226,"NO","YES")</f>
        <v>YES</v>
      </c>
      <c r="Q226" s="62"/>
      <c r="R226" s="38"/>
      <c r="S226" s="48"/>
      <c r="T226" s="48"/>
      <c r="U226" s="48"/>
      <c r="V226" s="48"/>
      <c r="AA226" s="63"/>
      <c r="AB226" s="63"/>
    </row>
    <row r="227" spans="1:28" hidden="1">
      <c r="A227" s="64" t="str">
        <f>IFERROR(VLOOKUP(A226,'Filtered Information'!$A$3:$E$66,4,FALSE),"-")</f>
        <v>-</v>
      </c>
      <c r="B227" s="27" t="s">
        <v>55</v>
      </c>
      <c r="C227" s="11"/>
      <c r="D227" s="11"/>
      <c r="E227" s="11"/>
      <c r="F227" s="11"/>
      <c r="G227" s="11"/>
      <c r="H227" s="11"/>
      <c r="I227" s="11"/>
      <c r="J227" s="12">
        <f t="shared" si="20"/>
        <v>0</v>
      </c>
      <c r="K227" s="65">
        <f>IF(J227&gt;0,K226*1.5,)</f>
        <v>0</v>
      </c>
      <c r="L227" s="13">
        <f t="shared" si="21"/>
        <v>0</v>
      </c>
      <c r="M227" s="66" t="s">
        <v>56</v>
      </c>
      <c r="N227" s="67">
        <f>N226*0.08</f>
        <v>0</v>
      </c>
      <c r="O227" s="68"/>
      <c r="P227" s="69" t="str">
        <f>IF('Filtered Information'!$B$1&gt;=A226,"NO","YES")</f>
        <v>YES</v>
      </c>
    </row>
    <row r="228" spans="1:28" hidden="1">
      <c r="A228" s="64" t="str">
        <f>IFERROR(VLOOKUP(A226,'Filtered Information'!$A$3:$E$66,3,FALSE),"-")</f>
        <v>-</v>
      </c>
      <c r="B228" s="27" t="s">
        <v>57</v>
      </c>
      <c r="C228" s="11"/>
      <c r="D228" s="11"/>
      <c r="E228" s="11"/>
      <c r="F228" s="11"/>
      <c r="G228" s="11"/>
      <c r="H228" s="11"/>
      <c r="I228" s="11"/>
      <c r="J228" s="12">
        <f t="shared" si="20"/>
        <v>0</v>
      </c>
      <c r="K228" s="65">
        <f>IF(J228&gt;0,K226*2,)</f>
        <v>0</v>
      </c>
      <c r="L228" s="13">
        <f t="shared" si="21"/>
        <v>0</v>
      </c>
      <c r="M228" s="70" t="str">
        <f>IF(K226&gt;0,"TOTAL WAGE:",0)</f>
        <v>TOTAL WAGE:</v>
      </c>
      <c r="N228" s="71">
        <f>N226+N227</f>
        <v>0</v>
      </c>
      <c r="O228" s="48">
        <f>N228</f>
        <v>0</v>
      </c>
      <c r="P228" s="69" t="str">
        <f>IF('Filtered Information'!$B$1&gt;=A226,"NO","YES")</f>
        <v>YES</v>
      </c>
    </row>
    <row r="229" spans="1:28" hidden="1">
      <c r="A229" s="82" t="str">
        <f>IFERROR(VLOOKUP(A226,'Filtered Information'!$A$3:$E$64,5,FALSE),"-")</f>
        <v>-</v>
      </c>
      <c r="B229" s="27" t="s">
        <v>58</v>
      </c>
      <c r="C229" s="11"/>
      <c r="D229" s="11"/>
      <c r="E229" s="11"/>
      <c r="F229" s="11"/>
      <c r="G229" s="11"/>
      <c r="H229" s="11"/>
      <c r="I229" s="11"/>
      <c r="J229" s="12">
        <f t="shared" si="20"/>
        <v>0</v>
      </c>
      <c r="K229" s="65"/>
      <c r="L229" s="13">
        <f t="shared" si="21"/>
        <v>0</v>
      </c>
      <c r="M229" s="72"/>
      <c r="N229" s="73"/>
      <c r="P229" s="69" t="str">
        <f>IF('Filtered Information'!$B$1&gt;=A226,"NO","YES")</f>
        <v>YES</v>
      </c>
      <c r="R229" s="74"/>
      <c r="S229" s="75"/>
      <c r="T229" s="75"/>
      <c r="U229" s="75"/>
      <c r="V229" s="75"/>
    </row>
    <row r="230" spans="1:28" s="74" customFormat="1" ht="13.5" hidden="1" thickBot="1">
      <c r="A230" s="83"/>
      <c r="B230" s="46" t="s">
        <v>60</v>
      </c>
      <c r="C230" s="14"/>
      <c r="D230" s="14"/>
      <c r="E230" s="14"/>
      <c r="F230" s="14"/>
      <c r="G230" s="14"/>
      <c r="H230" s="14"/>
      <c r="I230" s="14"/>
      <c r="J230" s="15">
        <f t="shared" si="20"/>
        <v>0</v>
      </c>
      <c r="K230" s="77">
        <f>IF(J230&gt;0,K226,)</f>
        <v>0</v>
      </c>
      <c r="L230" s="16">
        <f t="shared" si="21"/>
        <v>0</v>
      </c>
      <c r="M230" s="78" t="str">
        <f>IF(K226&gt;0,"UNION 3.5%:",0)</f>
        <v>UNION 3.5%:</v>
      </c>
      <c r="N230" s="79">
        <f>N228*0.035</f>
        <v>0</v>
      </c>
      <c r="O230" s="75"/>
      <c r="P230" s="80" t="str">
        <f>IF('Filtered Information'!$B$1&gt;=A226,"NO","YES")</f>
        <v>YES</v>
      </c>
      <c r="R230" s="38"/>
      <c r="S230" s="48"/>
      <c r="T230" s="48"/>
      <c r="U230" s="48"/>
      <c r="V230" s="48"/>
      <c r="AA230" s="81"/>
      <c r="AB230" s="81"/>
    </row>
    <row r="231" spans="1:28" s="53" customFormat="1" ht="13.5" hidden="1" thickTop="1">
      <c r="A231" s="55">
        <f>A226+1</f>
        <v>45</v>
      </c>
      <c r="B231" s="56" t="s">
        <v>54</v>
      </c>
      <c r="C231" s="8"/>
      <c r="D231" s="8"/>
      <c r="E231" s="8"/>
      <c r="F231" s="8"/>
      <c r="G231" s="8"/>
      <c r="H231" s="8"/>
      <c r="I231" s="8"/>
      <c r="J231" s="9">
        <f t="shared" si="20"/>
        <v>0</v>
      </c>
      <c r="K231" s="57" t="str">
        <f>IFERROR(VLOOKUP(A231,'Filtered Information'!$A$3:$D$64,2,FALSE),"0")</f>
        <v>0</v>
      </c>
      <c r="L231" s="10">
        <f t="shared" si="21"/>
        <v>0</v>
      </c>
      <c r="M231" s="58" t="str">
        <f>IF(K231&gt;0,"SUBTOTAL:",0)</f>
        <v>SUBTOTAL:</v>
      </c>
      <c r="N231" s="59">
        <f>SUM(L231:L235)</f>
        <v>0</v>
      </c>
      <c r="O231" s="60"/>
      <c r="P231" s="61" t="str">
        <f>IF('Filtered Information'!$B$1&gt;=A231,"NO","YES")</f>
        <v>YES</v>
      </c>
      <c r="Q231" s="62"/>
      <c r="R231" s="38"/>
      <c r="S231" s="48"/>
      <c r="T231" s="48"/>
      <c r="U231" s="48"/>
      <c r="V231" s="48"/>
      <c r="AA231" s="63"/>
      <c r="AB231" s="63"/>
    </row>
    <row r="232" spans="1:28" hidden="1">
      <c r="A232" s="64" t="str">
        <f>IFERROR(VLOOKUP(A231,'Filtered Information'!$A$3:$E$66,4,FALSE),"-")</f>
        <v>-</v>
      </c>
      <c r="B232" s="27" t="s">
        <v>55</v>
      </c>
      <c r="C232" s="11"/>
      <c r="D232" s="11"/>
      <c r="E232" s="11"/>
      <c r="F232" s="11"/>
      <c r="G232" s="11"/>
      <c r="H232" s="11"/>
      <c r="I232" s="11"/>
      <c r="J232" s="12">
        <f t="shared" si="20"/>
        <v>0</v>
      </c>
      <c r="K232" s="65">
        <f>IF(J232&gt;0,K231*1.5,)</f>
        <v>0</v>
      </c>
      <c r="L232" s="13">
        <f t="shared" si="21"/>
        <v>0</v>
      </c>
      <c r="M232" s="66" t="s">
        <v>56</v>
      </c>
      <c r="N232" s="67">
        <f>N231*0.08</f>
        <v>0</v>
      </c>
      <c r="O232" s="68"/>
      <c r="P232" s="69" t="str">
        <f>IF('Filtered Information'!$B$1&gt;=A231,"NO","YES")</f>
        <v>YES</v>
      </c>
    </row>
    <row r="233" spans="1:28" hidden="1">
      <c r="A233" s="64" t="str">
        <f>IFERROR(VLOOKUP(A231,'Filtered Information'!$A$3:$E$66,3,FALSE),"-")</f>
        <v>-</v>
      </c>
      <c r="B233" s="27" t="s">
        <v>57</v>
      </c>
      <c r="C233" s="11"/>
      <c r="D233" s="11"/>
      <c r="E233" s="11"/>
      <c r="F233" s="11"/>
      <c r="G233" s="11"/>
      <c r="H233" s="11"/>
      <c r="I233" s="11"/>
      <c r="J233" s="12">
        <f t="shared" si="20"/>
        <v>0</v>
      </c>
      <c r="K233" s="65">
        <f>IF(J233&gt;0,K231*2,)</f>
        <v>0</v>
      </c>
      <c r="L233" s="13">
        <f t="shared" si="21"/>
        <v>0</v>
      </c>
      <c r="M233" s="70" t="str">
        <f>IF(K231&gt;0,"TOTAL WAGE:",0)</f>
        <v>TOTAL WAGE:</v>
      </c>
      <c r="N233" s="71">
        <f>N231+N232</f>
        <v>0</v>
      </c>
      <c r="O233" s="48">
        <f>N233</f>
        <v>0</v>
      </c>
      <c r="P233" s="69" t="str">
        <f>IF('Filtered Information'!$B$1&gt;=A231,"NO","YES")</f>
        <v>YES</v>
      </c>
    </row>
    <row r="234" spans="1:28" hidden="1">
      <c r="A234" s="82" t="str">
        <f>IFERROR(VLOOKUP(A231,'Filtered Information'!$A$3:$E$64,5,FALSE),"-")</f>
        <v>-</v>
      </c>
      <c r="B234" s="27" t="s">
        <v>58</v>
      </c>
      <c r="C234" s="11"/>
      <c r="D234" s="11"/>
      <c r="E234" s="11"/>
      <c r="F234" s="11"/>
      <c r="G234" s="11"/>
      <c r="H234" s="11"/>
      <c r="I234" s="11"/>
      <c r="J234" s="12">
        <f t="shared" si="20"/>
        <v>0</v>
      </c>
      <c r="K234" s="65"/>
      <c r="L234" s="13">
        <f t="shared" si="21"/>
        <v>0</v>
      </c>
      <c r="M234" s="72"/>
      <c r="N234" s="73"/>
      <c r="P234" s="69" t="str">
        <f>IF('Filtered Information'!$B$1&gt;=A231,"NO","YES")</f>
        <v>YES</v>
      </c>
      <c r="R234" s="74"/>
      <c r="S234" s="75"/>
      <c r="T234" s="75"/>
      <c r="U234" s="75"/>
      <c r="V234" s="75"/>
    </row>
    <row r="235" spans="1:28" s="74" customFormat="1" ht="13.5" hidden="1" thickBot="1">
      <c r="A235" s="83"/>
      <c r="B235" s="46" t="s">
        <v>60</v>
      </c>
      <c r="C235" s="14"/>
      <c r="D235" s="14"/>
      <c r="E235" s="14"/>
      <c r="F235" s="14"/>
      <c r="G235" s="14"/>
      <c r="H235" s="14"/>
      <c r="I235" s="14"/>
      <c r="J235" s="15">
        <f t="shared" si="20"/>
        <v>0</v>
      </c>
      <c r="K235" s="77">
        <f>IF(J235&gt;0,K231,)</f>
        <v>0</v>
      </c>
      <c r="L235" s="16">
        <f t="shared" si="21"/>
        <v>0</v>
      </c>
      <c r="M235" s="78" t="str">
        <f>IF(K231&gt;0,"UNION 3.5%:",0)</f>
        <v>UNION 3.5%:</v>
      </c>
      <c r="N235" s="79">
        <f>N233*0.035</f>
        <v>0</v>
      </c>
      <c r="O235" s="75"/>
      <c r="P235" s="80" t="str">
        <f>IF('Filtered Information'!$B$1&gt;=A231,"NO","YES")</f>
        <v>YES</v>
      </c>
      <c r="R235" s="38"/>
      <c r="S235" s="48"/>
      <c r="T235" s="48"/>
      <c r="U235" s="48"/>
      <c r="V235" s="48"/>
      <c r="AA235" s="81"/>
      <c r="AB235" s="81"/>
    </row>
    <row r="236" spans="1:28" s="53" customFormat="1" ht="13.5" hidden="1" thickTop="1">
      <c r="A236" s="55">
        <f>A231+1</f>
        <v>46</v>
      </c>
      <c r="B236" s="56" t="s">
        <v>54</v>
      </c>
      <c r="C236" s="8"/>
      <c r="D236" s="8"/>
      <c r="E236" s="8"/>
      <c r="F236" s="8"/>
      <c r="G236" s="8"/>
      <c r="H236" s="8"/>
      <c r="I236" s="8"/>
      <c r="J236" s="9">
        <f t="shared" si="20"/>
        <v>0</v>
      </c>
      <c r="K236" s="57" t="str">
        <f>IFERROR(VLOOKUP(A236,'Filtered Information'!$A$3:$D$64,2,FALSE),"0")</f>
        <v>0</v>
      </c>
      <c r="L236" s="10">
        <f t="shared" si="21"/>
        <v>0</v>
      </c>
      <c r="M236" s="58" t="str">
        <f>IF(K236&gt;0,"SUBTOTAL:",0)</f>
        <v>SUBTOTAL:</v>
      </c>
      <c r="N236" s="59">
        <f>SUM(L236:L240)</f>
        <v>0</v>
      </c>
      <c r="O236" s="60"/>
      <c r="P236" s="61" t="str">
        <f>IF('Filtered Information'!$B$1&gt;=A236,"NO","YES")</f>
        <v>YES</v>
      </c>
      <c r="Q236" s="62"/>
      <c r="R236" s="38"/>
      <c r="S236" s="48"/>
      <c r="T236" s="48"/>
      <c r="U236" s="48"/>
      <c r="V236" s="48"/>
      <c r="AA236" s="63"/>
      <c r="AB236" s="63"/>
    </row>
    <row r="237" spans="1:28" hidden="1">
      <c r="A237" s="64" t="str">
        <f>IFERROR(VLOOKUP(A236,'Filtered Information'!$A$3:$E$66,4,FALSE),"-")</f>
        <v>-</v>
      </c>
      <c r="B237" s="27" t="s">
        <v>55</v>
      </c>
      <c r="C237" s="11"/>
      <c r="D237" s="11"/>
      <c r="E237" s="11"/>
      <c r="F237" s="11"/>
      <c r="G237" s="11"/>
      <c r="H237" s="11"/>
      <c r="I237" s="11"/>
      <c r="J237" s="12">
        <f t="shared" si="20"/>
        <v>0</v>
      </c>
      <c r="K237" s="65">
        <f>IF(J237&gt;0,K236*1.5,)</f>
        <v>0</v>
      </c>
      <c r="L237" s="13">
        <f t="shared" si="21"/>
        <v>0</v>
      </c>
      <c r="M237" s="66" t="s">
        <v>56</v>
      </c>
      <c r="N237" s="67">
        <f>N236*0.08</f>
        <v>0</v>
      </c>
      <c r="O237" s="68"/>
      <c r="P237" s="69" t="str">
        <f>IF('Filtered Information'!$B$1&gt;=A236,"NO","YES")</f>
        <v>YES</v>
      </c>
    </row>
    <row r="238" spans="1:28" hidden="1">
      <c r="A238" s="64" t="str">
        <f>IFERROR(VLOOKUP(A236,'Filtered Information'!$A$3:$E$66,3,FALSE),"-")</f>
        <v>-</v>
      </c>
      <c r="B238" s="27" t="s">
        <v>57</v>
      </c>
      <c r="C238" s="11"/>
      <c r="D238" s="11"/>
      <c r="E238" s="11"/>
      <c r="F238" s="11"/>
      <c r="G238" s="11"/>
      <c r="H238" s="11"/>
      <c r="I238" s="11"/>
      <c r="J238" s="12">
        <f t="shared" si="20"/>
        <v>0</v>
      </c>
      <c r="K238" s="65">
        <f>IF(J238&gt;0,K236*2,)</f>
        <v>0</v>
      </c>
      <c r="L238" s="13">
        <f t="shared" si="21"/>
        <v>0</v>
      </c>
      <c r="M238" s="70" t="str">
        <f>IF(K236&gt;0,"TOTAL WAGE:",0)</f>
        <v>TOTAL WAGE:</v>
      </c>
      <c r="N238" s="71">
        <f>N236+N237</f>
        <v>0</v>
      </c>
      <c r="O238" s="48">
        <f>N238</f>
        <v>0</v>
      </c>
      <c r="P238" s="69" t="str">
        <f>IF('Filtered Information'!$B$1&gt;=A236,"NO","YES")</f>
        <v>YES</v>
      </c>
    </row>
    <row r="239" spans="1:28" hidden="1">
      <c r="A239" s="82" t="str">
        <f>IFERROR(VLOOKUP(A236,'Filtered Information'!$A$3:$E$64,5,FALSE),"-")</f>
        <v>-</v>
      </c>
      <c r="B239" s="27" t="s">
        <v>58</v>
      </c>
      <c r="C239" s="11"/>
      <c r="D239" s="11"/>
      <c r="E239" s="11"/>
      <c r="F239" s="11"/>
      <c r="G239" s="11"/>
      <c r="H239" s="11"/>
      <c r="I239" s="11"/>
      <c r="J239" s="12">
        <f t="shared" si="20"/>
        <v>0</v>
      </c>
      <c r="K239" s="65"/>
      <c r="L239" s="13">
        <f t="shared" si="21"/>
        <v>0</v>
      </c>
      <c r="M239" s="72"/>
      <c r="N239" s="73"/>
      <c r="P239" s="69" t="str">
        <f>IF('Filtered Information'!$B$1&gt;=A236,"NO","YES")</f>
        <v>YES</v>
      </c>
      <c r="R239" s="74"/>
      <c r="S239" s="75"/>
      <c r="T239" s="75"/>
      <c r="U239" s="75"/>
      <c r="V239" s="75"/>
    </row>
    <row r="240" spans="1:28" s="74" customFormat="1" ht="13.5" hidden="1" thickBot="1">
      <c r="A240" s="83"/>
      <c r="B240" s="46" t="s">
        <v>60</v>
      </c>
      <c r="C240" s="14"/>
      <c r="D240" s="14"/>
      <c r="E240" s="14"/>
      <c r="F240" s="14"/>
      <c r="G240" s="14"/>
      <c r="H240" s="14"/>
      <c r="I240" s="14"/>
      <c r="J240" s="15">
        <f t="shared" si="20"/>
        <v>0</v>
      </c>
      <c r="K240" s="77">
        <f>IF(J240&gt;0,K236,)</f>
        <v>0</v>
      </c>
      <c r="L240" s="16">
        <f t="shared" si="21"/>
        <v>0</v>
      </c>
      <c r="M240" s="78" t="str">
        <f>IF(K236&gt;0,"UNION 3.5%:",0)</f>
        <v>UNION 3.5%:</v>
      </c>
      <c r="N240" s="79">
        <f>N238*0.035</f>
        <v>0</v>
      </c>
      <c r="O240" s="75"/>
      <c r="P240" s="80" t="str">
        <f>IF('Filtered Information'!$B$1&gt;=A236,"NO","YES")</f>
        <v>YES</v>
      </c>
      <c r="R240" s="38"/>
      <c r="S240" s="48"/>
      <c r="T240" s="48"/>
      <c r="U240" s="48"/>
      <c r="V240" s="48"/>
      <c r="AA240" s="81"/>
      <c r="AB240" s="81"/>
    </row>
    <row r="241" spans="1:28" s="53" customFormat="1" ht="13.5" hidden="1" thickTop="1">
      <c r="A241" s="55">
        <f>A236+1</f>
        <v>47</v>
      </c>
      <c r="B241" s="56" t="s">
        <v>54</v>
      </c>
      <c r="C241" s="8"/>
      <c r="D241" s="8"/>
      <c r="E241" s="8"/>
      <c r="F241" s="8"/>
      <c r="G241" s="8"/>
      <c r="H241" s="8"/>
      <c r="I241" s="8"/>
      <c r="J241" s="9">
        <f t="shared" si="20"/>
        <v>0</v>
      </c>
      <c r="K241" s="57" t="str">
        <f>IFERROR(VLOOKUP(A241,'Filtered Information'!$A$3:$D$64,2,FALSE),"0")</f>
        <v>0</v>
      </c>
      <c r="L241" s="10">
        <f t="shared" si="21"/>
        <v>0</v>
      </c>
      <c r="M241" s="58" t="str">
        <f>IF(K241&gt;0,"SUBTOTAL:",0)</f>
        <v>SUBTOTAL:</v>
      </c>
      <c r="N241" s="59">
        <f>SUM(L241:L245)</f>
        <v>0</v>
      </c>
      <c r="O241" s="60"/>
      <c r="P241" s="61" t="str">
        <f>IF('Filtered Information'!$B$1&gt;=A241,"NO","YES")</f>
        <v>YES</v>
      </c>
      <c r="Q241" s="62"/>
      <c r="R241" s="38"/>
      <c r="S241" s="48"/>
      <c r="T241" s="48"/>
      <c r="U241" s="48"/>
      <c r="V241" s="48"/>
      <c r="AA241" s="63"/>
      <c r="AB241" s="63"/>
    </row>
    <row r="242" spans="1:28" hidden="1">
      <c r="A242" s="64" t="str">
        <f>IFERROR(VLOOKUP(A241,'Filtered Information'!$A$3:$E$66,4,FALSE),"-")</f>
        <v>-</v>
      </c>
      <c r="B242" s="27" t="s">
        <v>55</v>
      </c>
      <c r="C242" s="11"/>
      <c r="D242" s="11"/>
      <c r="E242" s="11"/>
      <c r="F242" s="11"/>
      <c r="G242" s="11"/>
      <c r="H242" s="11"/>
      <c r="I242" s="11"/>
      <c r="J242" s="12">
        <f t="shared" si="20"/>
        <v>0</v>
      </c>
      <c r="K242" s="65">
        <f>IF(J242&gt;0,K241*1.5,)</f>
        <v>0</v>
      </c>
      <c r="L242" s="13">
        <f t="shared" si="21"/>
        <v>0</v>
      </c>
      <c r="M242" s="66" t="s">
        <v>56</v>
      </c>
      <c r="N242" s="67">
        <f>N241*0.08</f>
        <v>0</v>
      </c>
      <c r="O242" s="68"/>
      <c r="P242" s="69" t="str">
        <f>IF('Filtered Information'!$B$1&gt;=A241,"NO","YES")</f>
        <v>YES</v>
      </c>
    </row>
    <row r="243" spans="1:28" hidden="1">
      <c r="A243" s="64" t="str">
        <f>IFERROR(VLOOKUP(A241,'Filtered Information'!$A$3:$E$66,3,FALSE),"-")</f>
        <v>-</v>
      </c>
      <c r="B243" s="27" t="s">
        <v>57</v>
      </c>
      <c r="C243" s="11"/>
      <c r="D243" s="11"/>
      <c r="E243" s="11"/>
      <c r="F243" s="11"/>
      <c r="G243" s="11"/>
      <c r="H243" s="11"/>
      <c r="I243" s="11"/>
      <c r="J243" s="12">
        <f t="shared" ref="J243:J274" si="22">SUM(C243:I243)</f>
        <v>0</v>
      </c>
      <c r="K243" s="65">
        <f>IF(J243&gt;0,K241*2,)</f>
        <v>0</v>
      </c>
      <c r="L243" s="13">
        <f t="shared" ref="L243:L274" si="23">J243*K243</f>
        <v>0</v>
      </c>
      <c r="M243" s="70" t="str">
        <f>IF(K241&gt;0,"TOTAL WAGE:",0)</f>
        <v>TOTAL WAGE:</v>
      </c>
      <c r="N243" s="71">
        <f>N241+N242</f>
        <v>0</v>
      </c>
      <c r="O243" s="48">
        <f>N243</f>
        <v>0</v>
      </c>
      <c r="P243" s="69" t="str">
        <f>IF('Filtered Information'!$B$1&gt;=A241,"NO","YES")</f>
        <v>YES</v>
      </c>
    </row>
    <row r="244" spans="1:28" hidden="1">
      <c r="A244" s="82" t="str">
        <f>IFERROR(VLOOKUP(A241,'Filtered Information'!$A$3:$E$64,5,FALSE),"-")</f>
        <v>-</v>
      </c>
      <c r="B244" s="27" t="s">
        <v>58</v>
      </c>
      <c r="C244" s="11"/>
      <c r="D244" s="11"/>
      <c r="E244" s="11"/>
      <c r="F244" s="11"/>
      <c r="G244" s="11"/>
      <c r="H244" s="11"/>
      <c r="I244" s="11"/>
      <c r="J244" s="12">
        <f t="shared" si="22"/>
        <v>0</v>
      </c>
      <c r="K244" s="65"/>
      <c r="L244" s="13">
        <f t="shared" si="23"/>
        <v>0</v>
      </c>
      <c r="M244" s="72"/>
      <c r="N244" s="73"/>
      <c r="P244" s="69" t="str">
        <f>IF('Filtered Information'!$B$1&gt;=A241,"NO","YES")</f>
        <v>YES</v>
      </c>
      <c r="R244" s="74"/>
      <c r="S244" s="75"/>
      <c r="T244" s="75"/>
      <c r="U244" s="75"/>
      <c r="V244" s="75"/>
    </row>
    <row r="245" spans="1:28" s="74" customFormat="1" ht="13.5" hidden="1" thickBot="1">
      <c r="A245" s="83"/>
      <c r="B245" s="46" t="s">
        <v>60</v>
      </c>
      <c r="C245" s="14"/>
      <c r="D245" s="14"/>
      <c r="E245" s="14"/>
      <c r="F245" s="14"/>
      <c r="G245" s="14"/>
      <c r="H245" s="14"/>
      <c r="I245" s="14"/>
      <c r="J245" s="15">
        <f t="shared" si="22"/>
        <v>0</v>
      </c>
      <c r="K245" s="77">
        <f>IF(J245&gt;0,K241,)</f>
        <v>0</v>
      </c>
      <c r="L245" s="16">
        <f t="shared" si="23"/>
        <v>0</v>
      </c>
      <c r="M245" s="78" t="str">
        <f>IF(K241&gt;0,"UNION 3.5%:",0)</f>
        <v>UNION 3.5%:</v>
      </c>
      <c r="N245" s="79">
        <f>N243*0.035</f>
        <v>0</v>
      </c>
      <c r="O245" s="75"/>
      <c r="P245" s="80" t="str">
        <f>IF('Filtered Information'!$B$1&gt;=A241,"NO","YES")</f>
        <v>YES</v>
      </c>
      <c r="R245" s="38"/>
      <c r="S245" s="48"/>
      <c r="T245" s="48"/>
      <c r="U245" s="48"/>
      <c r="V245" s="48"/>
      <c r="AA245" s="81"/>
      <c r="AB245" s="81"/>
    </row>
    <row r="246" spans="1:28" s="53" customFormat="1" ht="13.5" hidden="1" thickTop="1">
      <c r="A246" s="55">
        <f>A241+1</f>
        <v>48</v>
      </c>
      <c r="B246" s="56" t="s">
        <v>54</v>
      </c>
      <c r="C246" s="8"/>
      <c r="D246" s="8"/>
      <c r="E246" s="8"/>
      <c r="F246" s="8"/>
      <c r="G246" s="8"/>
      <c r="H246" s="8"/>
      <c r="I246" s="8"/>
      <c r="J246" s="9">
        <f t="shared" si="22"/>
        <v>0</v>
      </c>
      <c r="K246" s="57" t="str">
        <f>IFERROR(VLOOKUP(A246,'Filtered Information'!$A$3:$D$64,2,FALSE),"0")</f>
        <v>0</v>
      </c>
      <c r="L246" s="10">
        <f t="shared" si="23"/>
        <v>0</v>
      </c>
      <c r="M246" s="58" t="str">
        <f>IF(K246&gt;0,"SUBTOTAL:",0)</f>
        <v>SUBTOTAL:</v>
      </c>
      <c r="N246" s="59">
        <f>SUM(L246:L250)</f>
        <v>0</v>
      </c>
      <c r="O246" s="60"/>
      <c r="P246" s="61" t="str">
        <f>IF('Filtered Information'!$B$1&gt;=A246,"NO","YES")</f>
        <v>YES</v>
      </c>
      <c r="Q246" s="62"/>
      <c r="R246" s="38"/>
      <c r="S246" s="48"/>
      <c r="T246" s="48"/>
      <c r="U246" s="48"/>
      <c r="V246" s="48"/>
      <c r="AA246" s="63"/>
      <c r="AB246" s="63"/>
    </row>
    <row r="247" spans="1:28" hidden="1">
      <c r="A247" s="64" t="str">
        <f>IFERROR(VLOOKUP(A246,'Filtered Information'!$A$3:$E$66,4,FALSE),"-")</f>
        <v>-</v>
      </c>
      <c r="B247" s="27" t="s">
        <v>55</v>
      </c>
      <c r="C247" s="11"/>
      <c r="D247" s="11"/>
      <c r="E247" s="11"/>
      <c r="F247" s="11"/>
      <c r="G247" s="11"/>
      <c r="H247" s="11"/>
      <c r="I247" s="11"/>
      <c r="J247" s="12">
        <f t="shared" si="22"/>
        <v>0</v>
      </c>
      <c r="K247" s="65">
        <f>IF(J247&gt;0,K246*1.5,)</f>
        <v>0</v>
      </c>
      <c r="L247" s="13">
        <f t="shared" si="23"/>
        <v>0</v>
      </c>
      <c r="M247" s="66" t="s">
        <v>56</v>
      </c>
      <c r="N247" s="67">
        <f>N246*0.08</f>
        <v>0</v>
      </c>
      <c r="O247" s="68"/>
      <c r="P247" s="69" t="str">
        <f>IF('Filtered Information'!$B$1&gt;=A246,"NO","YES")</f>
        <v>YES</v>
      </c>
    </row>
    <row r="248" spans="1:28" hidden="1">
      <c r="A248" s="64" t="str">
        <f>IFERROR(VLOOKUP(A246,'Filtered Information'!$A$3:$E$66,3,FALSE),"-")</f>
        <v>-</v>
      </c>
      <c r="B248" s="27" t="s">
        <v>57</v>
      </c>
      <c r="C248" s="11"/>
      <c r="D248" s="11"/>
      <c r="E248" s="11"/>
      <c r="F248" s="11"/>
      <c r="G248" s="11"/>
      <c r="H248" s="11"/>
      <c r="I248" s="11"/>
      <c r="J248" s="12">
        <f t="shared" si="22"/>
        <v>0</v>
      </c>
      <c r="K248" s="65">
        <f>IF(J248&gt;0,K246*2,)</f>
        <v>0</v>
      </c>
      <c r="L248" s="13">
        <f t="shared" si="23"/>
        <v>0</v>
      </c>
      <c r="M248" s="70" t="str">
        <f>IF(K246&gt;0,"TOTAL WAGE:",0)</f>
        <v>TOTAL WAGE:</v>
      </c>
      <c r="N248" s="71">
        <f>N246+N247</f>
        <v>0</v>
      </c>
      <c r="O248" s="48">
        <f>N248</f>
        <v>0</v>
      </c>
      <c r="P248" s="69" t="str">
        <f>IF('Filtered Information'!$B$1&gt;=A246,"NO","YES")</f>
        <v>YES</v>
      </c>
    </row>
    <row r="249" spans="1:28" hidden="1">
      <c r="A249" s="82" t="str">
        <f>IFERROR(VLOOKUP(A246,'Filtered Information'!$A$3:$E$64,5,FALSE),"-")</f>
        <v>-</v>
      </c>
      <c r="B249" s="27" t="s">
        <v>58</v>
      </c>
      <c r="C249" s="11"/>
      <c r="D249" s="11"/>
      <c r="E249" s="11"/>
      <c r="F249" s="11"/>
      <c r="G249" s="11"/>
      <c r="H249" s="11"/>
      <c r="I249" s="11"/>
      <c r="J249" s="12">
        <f t="shared" si="22"/>
        <v>0</v>
      </c>
      <c r="K249" s="65"/>
      <c r="L249" s="13">
        <f t="shared" si="23"/>
        <v>0</v>
      </c>
      <c r="M249" s="72"/>
      <c r="N249" s="73"/>
      <c r="P249" s="69" t="str">
        <f>IF('Filtered Information'!$B$1&gt;=A246,"NO","YES")</f>
        <v>YES</v>
      </c>
      <c r="R249" s="74"/>
      <c r="S249" s="75"/>
      <c r="T249" s="75"/>
      <c r="U249" s="75"/>
      <c r="V249" s="75"/>
    </row>
    <row r="250" spans="1:28" s="74" customFormat="1" ht="13.5" hidden="1" thickBot="1">
      <c r="A250" s="83"/>
      <c r="B250" s="46" t="s">
        <v>60</v>
      </c>
      <c r="C250" s="14"/>
      <c r="D250" s="14"/>
      <c r="E250" s="14"/>
      <c r="F250" s="14"/>
      <c r="G250" s="14"/>
      <c r="H250" s="14"/>
      <c r="I250" s="14"/>
      <c r="J250" s="15">
        <f t="shared" si="22"/>
        <v>0</v>
      </c>
      <c r="K250" s="77">
        <f>IF(J250&gt;0,K246,)</f>
        <v>0</v>
      </c>
      <c r="L250" s="16">
        <f t="shared" si="23"/>
        <v>0</v>
      </c>
      <c r="M250" s="78" t="str">
        <f>IF(K246&gt;0,"UNION 3.5%:",0)</f>
        <v>UNION 3.5%:</v>
      </c>
      <c r="N250" s="79">
        <f>N248*0.035</f>
        <v>0</v>
      </c>
      <c r="O250" s="75"/>
      <c r="P250" s="80" t="str">
        <f>IF('Filtered Information'!$B$1&gt;=A246,"NO","YES")</f>
        <v>YES</v>
      </c>
      <c r="R250" s="38"/>
      <c r="S250" s="48"/>
      <c r="T250" s="48"/>
      <c r="U250" s="48"/>
      <c r="V250" s="48"/>
      <c r="AA250" s="81"/>
      <c r="AB250" s="81"/>
    </row>
    <row r="251" spans="1:28" s="53" customFormat="1" ht="13.5" hidden="1" thickTop="1">
      <c r="A251" s="55">
        <f>A246+1</f>
        <v>49</v>
      </c>
      <c r="B251" s="56" t="s">
        <v>54</v>
      </c>
      <c r="C251" s="8"/>
      <c r="D251" s="8"/>
      <c r="E251" s="8"/>
      <c r="F251" s="8"/>
      <c r="G251" s="8"/>
      <c r="H251" s="8"/>
      <c r="I251" s="8"/>
      <c r="J251" s="9">
        <f t="shared" si="22"/>
        <v>0</v>
      </c>
      <c r="K251" s="57" t="str">
        <f>IFERROR(VLOOKUP(A251,'Filtered Information'!$A$3:$D$64,2,FALSE),"0")</f>
        <v>0</v>
      </c>
      <c r="L251" s="10">
        <f t="shared" si="23"/>
        <v>0</v>
      </c>
      <c r="M251" s="58" t="str">
        <f>IF(K251&gt;0,"SUBTOTAL:",0)</f>
        <v>SUBTOTAL:</v>
      </c>
      <c r="N251" s="59">
        <f>SUM(L251:L255)</f>
        <v>0</v>
      </c>
      <c r="O251" s="60"/>
      <c r="P251" s="61" t="str">
        <f>IF('Filtered Information'!$B$1&gt;=A251,"NO","YES")</f>
        <v>YES</v>
      </c>
      <c r="Q251" s="62"/>
      <c r="R251" s="38"/>
      <c r="S251" s="48"/>
      <c r="T251" s="48"/>
      <c r="U251" s="48"/>
      <c r="V251" s="48"/>
      <c r="AA251" s="63"/>
      <c r="AB251" s="63"/>
    </row>
    <row r="252" spans="1:28" hidden="1">
      <c r="A252" s="64" t="str">
        <f>IFERROR(VLOOKUP(A251,'Filtered Information'!$A$3:$E$66,4,FALSE),"-")</f>
        <v>-</v>
      </c>
      <c r="B252" s="27" t="s">
        <v>55</v>
      </c>
      <c r="C252" s="11"/>
      <c r="D252" s="11"/>
      <c r="E252" s="11"/>
      <c r="F252" s="11"/>
      <c r="G252" s="11"/>
      <c r="H252" s="11"/>
      <c r="I252" s="11"/>
      <c r="J252" s="12">
        <f t="shared" si="22"/>
        <v>0</v>
      </c>
      <c r="K252" s="65">
        <f>IF(J252&gt;0,K251*1.5,)</f>
        <v>0</v>
      </c>
      <c r="L252" s="13">
        <f t="shared" si="23"/>
        <v>0</v>
      </c>
      <c r="M252" s="66" t="s">
        <v>56</v>
      </c>
      <c r="N252" s="67">
        <f>N251*0.08</f>
        <v>0</v>
      </c>
      <c r="O252" s="68"/>
      <c r="P252" s="69" t="str">
        <f>IF('Filtered Information'!$B$1&gt;=A251,"NO","YES")</f>
        <v>YES</v>
      </c>
    </row>
    <row r="253" spans="1:28" hidden="1">
      <c r="A253" s="64" t="str">
        <f>IFERROR(VLOOKUP(A251,'Filtered Information'!$A$3:$E$66,3,FALSE),"-")</f>
        <v>-</v>
      </c>
      <c r="B253" s="27" t="s">
        <v>57</v>
      </c>
      <c r="C253" s="11"/>
      <c r="D253" s="11"/>
      <c r="E253" s="11"/>
      <c r="F253" s="11"/>
      <c r="G253" s="11"/>
      <c r="H253" s="11"/>
      <c r="I253" s="11"/>
      <c r="J253" s="12">
        <f t="shared" si="22"/>
        <v>0</v>
      </c>
      <c r="K253" s="65">
        <f>IF(J253&gt;0,K251*2,)</f>
        <v>0</v>
      </c>
      <c r="L253" s="13">
        <f t="shared" si="23"/>
        <v>0</v>
      </c>
      <c r="M253" s="70" t="str">
        <f>IF(K251&gt;0,"TOTAL WAGE:",0)</f>
        <v>TOTAL WAGE:</v>
      </c>
      <c r="N253" s="71">
        <f>N251+N252</f>
        <v>0</v>
      </c>
      <c r="O253" s="48">
        <f>N253</f>
        <v>0</v>
      </c>
      <c r="P253" s="69" t="str">
        <f>IF('Filtered Information'!$B$1&gt;=A251,"NO","YES")</f>
        <v>YES</v>
      </c>
    </row>
    <row r="254" spans="1:28" hidden="1">
      <c r="A254" s="82" t="str">
        <f>IFERROR(VLOOKUP(A251,'Filtered Information'!$A$3:$E$64,5,FALSE),"-")</f>
        <v>-</v>
      </c>
      <c r="B254" s="27" t="s">
        <v>58</v>
      </c>
      <c r="C254" s="11"/>
      <c r="D254" s="11"/>
      <c r="E254" s="11"/>
      <c r="F254" s="11"/>
      <c r="G254" s="11"/>
      <c r="H254" s="11"/>
      <c r="I254" s="11"/>
      <c r="J254" s="12">
        <f t="shared" si="22"/>
        <v>0</v>
      </c>
      <c r="K254" s="65"/>
      <c r="L254" s="13">
        <f t="shared" si="23"/>
        <v>0</v>
      </c>
      <c r="M254" s="72"/>
      <c r="N254" s="73"/>
      <c r="P254" s="69" t="str">
        <f>IF('Filtered Information'!$B$1&gt;=A251,"NO","YES")</f>
        <v>YES</v>
      </c>
      <c r="R254" s="74"/>
      <c r="S254" s="75"/>
      <c r="T254" s="75"/>
      <c r="U254" s="75"/>
      <c r="V254" s="75"/>
    </row>
    <row r="255" spans="1:28" s="74" customFormat="1" ht="13.5" hidden="1" thickBot="1">
      <c r="A255" s="83"/>
      <c r="B255" s="46" t="s">
        <v>60</v>
      </c>
      <c r="C255" s="14"/>
      <c r="D255" s="14"/>
      <c r="E255" s="14"/>
      <c r="F255" s="14"/>
      <c r="G255" s="14"/>
      <c r="H255" s="14"/>
      <c r="I255" s="14"/>
      <c r="J255" s="15">
        <f t="shared" si="22"/>
        <v>0</v>
      </c>
      <c r="K255" s="77">
        <f>IF(J255&gt;0,K251,)</f>
        <v>0</v>
      </c>
      <c r="L255" s="16">
        <f t="shared" si="23"/>
        <v>0</v>
      </c>
      <c r="M255" s="78" t="str">
        <f>IF(K251&gt;0,"UNION 3.5%:",0)</f>
        <v>UNION 3.5%:</v>
      </c>
      <c r="N255" s="79">
        <f>N253*0.035</f>
        <v>0</v>
      </c>
      <c r="O255" s="75"/>
      <c r="P255" s="80" t="str">
        <f>IF('Filtered Information'!$B$1&gt;=A251,"NO","YES")</f>
        <v>YES</v>
      </c>
      <c r="R255" s="38"/>
      <c r="S255" s="48"/>
      <c r="T255" s="48"/>
      <c r="U255" s="48"/>
      <c r="V255" s="48"/>
      <c r="AA255" s="81"/>
      <c r="AB255" s="81"/>
    </row>
    <row r="256" spans="1:28" s="53" customFormat="1" ht="13.5" hidden="1" thickTop="1">
      <c r="A256" s="55">
        <f>A251+1</f>
        <v>50</v>
      </c>
      <c r="B256" s="56" t="s">
        <v>54</v>
      </c>
      <c r="C256" s="8"/>
      <c r="D256" s="8"/>
      <c r="E256" s="8"/>
      <c r="F256" s="8"/>
      <c r="G256" s="8"/>
      <c r="H256" s="8"/>
      <c r="I256" s="8"/>
      <c r="J256" s="9">
        <f t="shared" si="22"/>
        <v>0</v>
      </c>
      <c r="K256" s="57" t="str">
        <f>IFERROR(VLOOKUP(A256,'Filtered Information'!$A$3:$D$64,2,FALSE),"0")</f>
        <v>0</v>
      </c>
      <c r="L256" s="10">
        <f t="shared" si="23"/>
        <v>0</v>
      </c>
      <c r="M256" s="58" t="str">
        <f>IF(K256&gt;0,"SUBTOTAL:",0)</f>
        <v>SUBTOTAL:</v>
      </c>
      <c r="N256" s="59">
        <f>SUM(L256:L260)</f>
        <v>0</v>
      </c>
      <c r="O256" s="60"/>
      <c r="P256" s="61" t="str">
        <f>IF('Filtered Information'!$B$1&gt;=A256,"NO","YES")</f>
        <v>YES</v>
      </c>
      <c r="Q256" s="62"/>
      <c r="R256" s="38"/>
      <c r="S256" s="48"/>
      <c r="T256" s="48"/>
      <c r="U256" s="48"/>
      <c r="V256" s="48"/>
      <c r="AA256" s="63"/>
      <c r="AB256" s="63"/>
    </row>
    <row r="257" spans="1:28" hidden="1">
      <c r="A257" s="64" t="str">
        <f>IFERROR(VLOOKUP(A256,'Filtered Information'!$A$3:$E$66,4,FALSE),"-")</f>
        <v>-</v>
      </c>
      <c r="B257" s="27" t="s">
        <v>55</v>
      </c>
      <c r="C257" s="11"/>
      <c r="D257" s="11"/>
      <c r="E257" s="11"/>
      <c r="F257" s="11"/>
      <c r="G257" s="11"/>
      <c r="H257" s="11"/>
      <c r="I257" s="11"/>
      <c r="J257" s="12">
        <f t="shared" si="22"/>
        <v>0</v>
      </c>
      <c r="K257" s="65">
        <f>IF(J257&gt;0,K256*1.5,)</f>
        <v>0</v>
      </c>
      <c r="L257" s="13">
        <f t="shared" si="23"/>
        <v>0</v>
      </c>
      <c r="M257" s="66" t="s">
        <v>56</v>
      </c>
      <c r="N257" s="67">
        <f>N256*0.08</f>
        <v>0</v>
      </c>
      <c r="O257" s="68"/>
      <c r="P257" s="69" t="str">
        <f>IF('Filtered Information'!$B$1&gt;=A256,"NO","YES")</f>
        <v>YES</v>
      </c>
    </row>
    <row r="258" spans="1:28" hidden="1">
      <c r="A258" s="64" t="str">
        <f>IFERROR(VLOOKUP(A256,'Filtered Information'!$A$3:$E$66,3,FALSE),"-")</f>
        <v>-</v>
      </c>
      <c r="B258" s="27" t="s">
        <v>57</v>
      </c>
      <c r="C258" s="11"/>
      <c r="D258" s="11"/>
      <c r="E258" s="11"/>
      <c r="F258" s="11"/>
      <c r="G258" s="11"/>
      <c r="H258" s="11"/>
      <c r="I258" s="11"/>
      <c r="J258" s="12">
        <f t="shared" si="22"/>
        <v>0</v>
      </c>
      <c r="K258" s="65">
        <f>IF(J258&gt;0,K256*2,)</f>
        <v>0</v>
      </c>
      <c r="L258" s="13">
        <f t="shared" si="23"/>
        <v>0</v>
      </c>
      <c r="M258" s="70" t="str">
        <f>IF(K256&gt;0,"TOTAL WAGE:",0)</f>
        <v>TOTAL WAGE:</v>
      </c>
      <c r="N258" s="71">
        <f>N256+N257</f>
        <v>0</v>
      </c>
      <c r="O258" s="48">
        <f>N258</f>
        <v>0</v>
      </c>
      <c r="P258" s="69" t="str">
        <f>IF('Filtered Information'!$B$1&gt;=A256,"NO","YES")</f>
        <v>YES</v>
      </c>
    </row>
    <row r="259" spans="1:28" hidden="1">
      <c r="A259" s="82" t="str">
        <f>IFERROR(VLOOKUP(A256,'Filtered Information'!$A$3:$E$64,5,FALSE),"-")</f>
        <v>-</v>
      </c>
      <c r="B259" s="27" t="s">
        <v>58</v>
      </c>
      <c r="C259" s="11"/>
      <c r="D259" s="11"/>
      <c r="E259" s="11"/>
      <c r="F259" s="11"/>
      <c r="G259" s="11"/>
      <c r="H259" s="11"/>
      <c r="I259" s="11"/>
      <c r="J259" s="12">
        <f t="shared" si="22"/>
        <v>0</v>
      </c>
      <c r="K259" s="65"/>
      <c r="L259" s="13">
        <f t="shared" si="23"/>
        <v>0</v>
      </c>
      <c r="M259" s="72"/>
      <c r="N259" s="73"/>
      <c r="P259" s="69" t="str">
        <f>IF('Filtered Information'!$B$1&gt;=A256,"NO","YES")</f>
        <v>YES</v>
      </c>
      <c r="R259" s="74"/>
      <c r="S259" s="75"/>
      <c r="T259" s="75"/>
      <c r="U259" s="75"/>
      <c r="V259" s="75"/>
    </row>
    <row r="260" spans="1:28" s="74" customFormat="1" ht="13.5" hidden="1" thickBot="1">
      <c r="A260" s="83"/>
      <c r="B260" s="46" t="s">
        <v>60</v>
      </c>
      <c r="C260" s="14"/>
      <c r="D260" s="14"/>
      <c r="E260" s="14"/>
      <c r="F260" s="14"/>
      <c r="G260" s="14"/>
      <c r="H260" s="14"/>
      <c r="I260" s="14"/>
      <c r="J260" s="15">
        <f t="shared" si="22"/>
        <v>0</v>
      </c>
      <c r="K260" s="77">
        <f>IF(J260&gt;0,K256,)</f>
        <v>0</v>
      </c>
      <c r="L260" s="16">
        <f t="shared" si="23"/>
        <v>0</v>
      </c>
      <c r="M260" s="78" t="str">
        <f>IF(K256&gt;0,"UNION 3.5%:",0)</f>
        <v>UNION 3.5%:</v>
      </c>
      <c r="N260" s="79">
        <f>N258*0.035</f>
        <v>0</v>
      </c>
      <c r="O260" s="75"/>
      <c r="P260" s="80" t="str">
        <f>IF('Filtered Information'!$B$1&gt;=A256,"NO","YES")</f>
        <v>YES</v>
      </c>
      <c r="R260" s="38"/>
      <c r="S260" s="48"/>
      <c r="T260" s="48"/>
      <c r="U260" s="48"/>
      <c r="V260" s="48"/>
      <c r="AA260" s="81"/>
      <c r="AB260" s="81"/>
    </row>
    <row r="261" spans="1:28" s="53" customFormat="1" ht="13.5" hidden="1" thickTop="1">
      <c r="A261" s="55">
        <f>A256+1</f>
        <v>51</v>
      </c>
      <c r="B261" s="56" t="s">
        <v>54</v>
      </c>
      <c r="C261" s="8"/>
      <c r="D261" s="8"/>
      <c r="E261" s="8"/>
      <c r="F261" s="8"/>
      <c r="G261" s="8"/>
      <c r="H261" s="8"/>
      <c r="I261" s="8"/>
      <c r="J261" s="9">
        <f t="shared" si="22"/>
        <v>0</v>
      </c>
      <c r="K261" s="57" t="str">
        <f>IFERROR(VLOOKUP(A261,'Filtered Information'!$A$3:$D$64,2,FALSE),"0")</f>
        <v>0</v>
      </c>
      <c r="L261" s="10">
        <f t="shared" si="23"/>
        <v>0</v>
      </c>
      <c r="M261" s="58" t="str">
        <f>IF(K261&gt;0,"SUBTOTAL:",0)</f>
        <v>SUBTOTAL:</v>
      </c>
      <c r="N261" s="59">
        <f>SUM(L261:L265)</f>
        <v>0</v>
      </c>
      <c r="O261" s="60"/>
      <c r="P261" s="61" t="str">
        <f>IF('Filtered Information'!$B$1&gt;=A261,"NO","YES")</f>
        <v>YES</v>
      </c>
      <c r="Q261" s="62"/>
      <c r="R261" s="38"/>
      <c r="S261" s="48"/>
      <c r="T261" s="48"/>
      <c r="U261" s="48"/>
      <c r="V261" s="48"/>
      <c r="AA261" s="63"/>
      <c r="AB261" s="63"/>
    </row>
    <row r="262" spans="1:28" hidden="1">
      <c r="A262" s="64" t="str">
        <f>IFERROR(VLOOKUP(A261,'Filtered Information'!$A$3:$E$66,4,FALSE),"-")</f>
        <v>-</v>
      </c>
      <c r="B262" s="27" t="s">
        <v>55</v>
      </c>
      <c r="C262" s="11"/>
      <c r="D262" s="11"/>
      <c r="E262" s="11"/>
      <c r="F262" s="11"/>
      <c r="G262" s="11"/>
      <c r="H262" s="11"/>
      <c r="I262" s="11"/>
      <c r="J262" s="12">
        <f t="shared" si="22"/>
        <v>0</v>
      </c>
      <c r="K262" s="65">
        <f>IF(J262&gt;0,K261*1.5,)</f>
        <v>0</v>
      </c>
      <c r="L262" s="13">
        <f t="shared" si="23"/>
        <v>0</v>
      </c>
      <c r="M262" s="66" t="s">
        <v>56</v>
      </c>
      <c r="N262" s="67">
        <f>N261*0.08</f>
        <v>0</v>
      </c>
      <c r="O262" s="68"/>
      <c r="P262" s="69" t="str">
        <f>IF('Filtered Information'!$B$1&gt;=A261,"NO","YES")</f>
        <v>YES</v>
      </c>
    </row>
    <row r="263" spans="1:28" hidden="1">
      <c r="A263" s="64" t="str">
        <f>IFERROR(VLOOKUP(A261,'Filtered Information'!$A$3:$E$66,3,FALSE),"-")</f>
        <v>-</v>
      </c>
      <c r="B263" s="27" t="s">
        <v>57</v>
      </c>
      <c r="C263" s="11"/>
      <c r="D263" s="11"/>
      <c r="E263" s="11"/>
      <c r="F263" s="11"/>
      <c r="G263" s="11"/>
      <c r="H263" s="11"/>
      <c r="I263" s="11"/>
      <c r="J263" s="12">
        <f t="shared" si="22"/>
        <v>0</v>
      </c>
      <c r="K263" s="65">
        <f>IF(J263&gt;0,K261*2,)</f>
        <v>0</v>
      </c>
      <c r="L263" s="13">
        <f t="shared" si="23"/>
        <v>0</v>
      </c>
      <c r="M263" s="70" t="str">
        <f>IF(K261&gt;0,"TOTAL WAGE:",0)</f>
        <v>TOTAL WAGE:</v>
      </c>
      <c r="N263" s="71">
        <f>N261+N262</f>
        <v>0</v>
      </c>
      <c r="O263" s="48">
        <f>N263</f>
        <v>0</v>
      </c>
      <c r="P263" s="69" t="str">
        <f>IF('Filtered Information'!$B$1&gt;=A261,"NO","YES")</f>
        <v>YES</v>
      </c>
    </row>
    <row r="264" spans="1:28" hidden="1">
      <c r="A264" s="82" t="str">
        <f>IFERROR(VLOOKUP(A261,'Filtered Information'!$A$3:$E$64,5,FALSE),"-")</f>
        <v>-</v>
      </c>
      <c r="B264" s="27" t="s">
        <v>58</v>
      </c>
      <c r="C264" s="11"/>
      <c r="D264" s="11"/>
      <c r="E264" s="11"/>
      <c r="F264" s="11"/>
      <c r="G264" s="11"/>
      <c r="H264" s="11"/>
      <c r="I264" s="11"/>
      <c r="J264" s="12">
        <f t="shared" si="22"/>
        <v>0</v>
      </c>
      <c r="K264" s="65"/>
      <c r="L264" s="13">
        <f t="shared" si="23"/>
        <v>0</v>
      </c>
      <c r="M264" s="72"/>
      <c r="N264" s="73"/>
      <c r="P264" s="69" t="str">
        <f>IF('Filtered Information'!$B$1&gt;=A261,"NO","YES")</f>
        <v>YES</v>
      </c>
      <c r="R264" s="74"/>
      <c r="S264" s="75"/>
      <c r="T264" s="75"/>
      <c r="U264" s="75"/>
      <c r="V264" s="75"/>
    </row>
    <row r="265" spans="1:28" s="74" customFormat="1" ht="13.5" hidden="1" thickBot="1">
      <c r="A265" s="83"/>
      <c r="B265" s="46" t="s">
        <v>60</v>
      </c>
      <c r="C265" s="14"/>
      <c r="D265" s="14"/>
      <c r="E265" s="14"/>
      <c r="F265" s="14"/>
      <c r="G265" s="14"/>
      <c r="H265" s="14"/>
      <c r="I265" s="14"/>
      <c r="J265" s="15">
        <f t="shared" si="22"/>
        <v>0</v>
      </c>
      <c r="K265" s="77">
        <f>IF(J265&gt;0,K261,)</f>
        <v>0</v>
      </c>
      <c r="L265" s="16">
        <f t="shared" si="23"/>
        <v>0</v>
      </c>
      <c r="M265" s="78" t="str">
        <f>IF(K261&gt;0,"UNION 3.5%:",0)</f>
        <v>UNION 3.5%:</v>
      </c>
      <c r="N265" s="79">
        <f>N263*0.035</f>
        <v>0</v>
      </c>
      <c r="O265" s="75"/>
      <c r="P265" s="80" t="str">
        <f>IF('Filtered Information'!$B$1&gt;=A261,"NO","YES")</f>
        <v>YES</v>
      </c>
      <c r="R265" s="38"/>
      <c r="S265" s="48"/>
      <c r="T265" s="48"/>
      <c r="U265" s="48"/>
      <c r="V265" s="48"/>
      <c r="AA265" s="81"/>
      <c r="AB265" s="81"/>
    </row>
    <row r="266" spans="1:28" s="53" customFormat="1" ht="13.5" hidden="1" thickTop="1">
      <c r="A266" s="55">
        <f>A261+1</f>
        <v>52</v>
      </c>
      <c r="B266" s="56" t="s">
        <v>54</v>
      </c>
      <c r="C266" s="8"/>
      <c r="D266" s="8"/>
      <c r="E266" s="8"/>
      <c r="F266" s="8"/>
      <c r="G266" s="8"/>
      <c r="H266" s="8"/>
      <c r="I266" s="8"/>
      <c r="J266" s="9">
        <f t="shared" si="22"/>
        <v>0</v>
      </c>
      <c r="K266" s="57" t="str">
        <f>IFERROR(VLOOKUP(A266,'Filtered Information'!$A$3:$D$64,2,FALSE),"0")</f>
        <v>0</v>
      </c>
      <c r="L266" s="10">
        <f t="shared" si="23"/>
        <v>0</v>
      </c>
      <c r="M266" s="58" t="str">
        <f>IF(K266&gt;0,"SUBTOTAL:",0)</f>
        <v>SUBTOTAL:</v>
      </c>
      <c r="N266" s="59">
        <f>SUM(L266:L270)</f>
        <v>0</v>
      </c>
      <c r="O266" s="60"/>
      <c r="P266" s="61" t="str">
        <f>IF('Filtered Information'!$B$1&gt;=A266,"NO","YES")</f>
        <v>YES</v>
      </c>
      <c r="Q266" s="62"/>
      <c r="R266" s="38"/>
      <c r="S266" s="48"/>
      <c r="T266" s="48"/>
      <c r="U266" s="48"/>
      <c r="V266" s="48"/>
      <c r="AA266" s="63"/>
      <c r="AB266" s="63"/>
    </row>
    <row r="267" spans="1:28" hidden="1">
      <c r="A267" s="64" t="str">
        <f>IFERROR(VLOOKUP(A266,'Filtered Information'!$A$3:$E$66,4,FALSE),"-")</f>
        <v>-</v>
      </c>
      <c r="B267" s="27" t="s">
        <v>55</v>
      </c>
      <c r="C267" s="11"/>
      <c r="D267" s="11"/>
      <c r="E267" s="11"/>
      <c r="F267" s="11"/>
      <c r="G267" s="11"/>
      <c r="H267" s="11"/>
      <c r="I267" s="11"/>
      <c r="J267" s="12">
        <f t="shared" si="22"/>
        <v>0</v>
      </c>
      <c r="K267" s="65">
        <f>IF(J267&gt;0,K266*1.5,)</f>
        <v>0</v>
      </c>
      <c r="L267" s="13">
        <f t="shared" si="23"/>
        <v>0</v>
      </c>
      <c r="M267" s="66" t="s">
        <v>56</v>
      </c>
      <c r="N267" s="67">
        <f>N266*0.08</f>
        <v>0</v>
      </c>
      <c r="O267" s="68"/>
      <c r="P267" s="69" t="str">
        <f>IF('Filtered Information'!$B$1&gt;=A266,"NO","YES")</f>
        <v>YES</v>
      </c>
    </row>
    <row r="268" spans="1:28" hidden="1">
      <c r="A268" s="64" t="str">
        <f>IFERROR(VLOOKUP(A266,'Filtered Information'!$A$3:$E$66,3,FALSE),"-")</f>
        <v>-</v>
      </c>
      <c r="B268" s="27" t="s">
        <v>57</v>
      </c>
      <c r="C268" s="11"/>
      <c r="D268" s="11"/>
      <c r="E268" s="11"/>
      <c r="F268" s="11"/>
      <c r="G268" s="11"/>
      <c r="H268" s="11"/>
      <c r="I268" s="11"/>
      <c r="J268" s="12">
        <f t="shared" si="22"/>
        <v>0</v>
      </c>
      <c r="K268" s="65">
        <f>IF(J268&gt;0,K266*2,)</f>
        <v>0</v>
      </c>
      <c r="L268" s="13">
        <f t="shared" si="23"/>
        <v>0</v>
      </c>
      <c r="M268" s="70" t="str">
        <f>IF(K266&gt;0,"TOTAL WAGE:",0)</f>
        <v>TOTAL WAGE:</v>
      </c>
      <c r="N268" s="71">
        <f>N266+N267</f>
        <v>0</v>
      </c>
      <c r="O268" s="48">
        <f>N268</f>
        <v>0</v>
      </c>
      <c r="P268" s="69" t="str">
        <f>IF('Filtered Information'!$B$1&gt;=A266,"NO","YES")</f>
        <v>YES</v>
      </c>
    </row>
    <row r="269" spans="1:28" hidden="1">
      <c r="A269" s="82" t="str">
        <f>IFERROR(VLOOKUP(A266,'Filtered Information'!$A$3:$E$64,5,FALSE),"-")</f>
        <v>-</v>
      </c>
      <c r="B269" s="27" t="s">
        <v>58</v>
      </c>
      <c r="C269" s="11"/>
      <c r="D269" s="11"/>
      <c r="E269" s="11"/>
      <c r="F269" s="11"/>
      <c r="G269" s="11"/>
      <c r="H269" s="11"/>
      <c r="I269" s="11"/>
      <c r="J269" s="12">
        <f t="shared" si="22"/>
        <v>0</v>
      </c>
      <c r="K269" s="65"/>
      <c r="L269" s="13">
        <f t="shared" si="23"/>
        <v>0</v>
      </c>
      <c r="M269" s="72"/>
      <c r="N269" s="73"/>
      <c r="P269" s="69" t="str">
        <f>IF('Filtered Information'!$B$1&gt;=A266,"NO","YES")</f>
        <v>YES</v>
      </c>
      <c r="R269" s="74"/>
      <c r="S269" s="75"/>
      <c r="T269" s="75"/>
      <c r="U269" s="75"/>
      <c r="V269" s="75"/>
    </row>
    <row r="270" spans="1:28" s="74" customFormat="1" ht="13.5" hidden="1" thickBot="1">
      <c r="A270" s="83"/>
      <c r="B270" s="46" t="s">
        <v>60</v>
      </c>
      <c r="C270" s="14"/>
      <c r="D270" s="14"/>
      <c r="E270" s="14"/>
      <c r="F270" s="14"/>
      <c r="G270" s="14"/>
      <c r="H270" s="14"/>
      <c r="I270" s="14"/>
      <c r="J270" s="15">
        <f t="shared" si="22"/>
        <v>0</v>
      </c>
      <c r="K270" s="77">
        <f>IF(J270&gt;0,K266,)</f>
        <v>0</v>
      </c>
      <c r="L270" s="16">
        <f t="shared" si="23"/>
        <v>0</v>
      </c>
      <c r="M270" s="78" t="str">
        <f>IF(K266&gt;0,"UNION 3.5%:",0)</f>
        <v>UNION 3.5%:</v>
      </c>
      <c r="N270" s="79">
        <f>N268*0.035</f>
        <v>0</v>
      </c>
      <c r="O270" s="75"/>
      <c r="P270" s="80" t="str">
        <f>IF('Filtered Information'!$B$1&gt;=A266,"NO","YES")</f>
        <v>YES</v>
      </c>
      <c r="R270" s="38"/>
      <c r="S270" s="48"/>
      <c r="T270" s="48"/>
      <c r="U270" s="48"/>
      <c r="V270" s="48"/>
      <c r="AA270" s="81"/>
      <c r="AB270" s="81"/>
    </row>
    <row r="271" spans="1:28" s="53" customFormat="1" ht="13.5" hidden="1" thickTop="1">
      <c r="A271" s="55">
        <f>A266+1</f>
        <v>53</v>
      </c>
      <c r="B271" s="56" t="s">
        <v>54</v>
      </c>
      <c r="C271" s="8"/>
      <c r="D271" s="8"/>
      <c r="E271" s="8"/>
      <c r="F271" s="8"/>
      <c r="G271" s="8"/>
      <c r="H271" s="8"/>
      <c r="I271" s="8"/>
      <c r="J271" s="9">
        <f t="shared" si="22"/>
        <v>0</v>
      </c>
      <c r="K271" s="57" t="str">
        <f>IFERROR(VLOOKUP(A271,'Filtered Information'!$A$3:$D$64,2,FALSE),"0")</f>
        <v>0</v>
      </c>
      <c r="L271" s="10">
        <f t="shared" si="23"/>
        <v>0</v>
      </c>
      <c r="M271" s="58" t="str">
        <f>IF(K271&gt;0,"SUBTOTAL:",0)</f>
        <v>SUBTOTAL:</v>
      </c>
      <c r="N271" s="59">
        <f>SUM(L271:L275)</f>
        <v>0</v>
      </c>
      <c r="O271" s="60"/>
      <c r="P271" s="61" t="str">
        <f>IF('Filtered Information'!$B$1&gt;=A271,"NO","YES")</f>
        <v>YES</v>
      </c>
      <c r="Q271" s="62"/>
      <c r="R271" s="38"/>
      <c r="S271" s="48"/>
      <c r="T271" s="48"/>
      <c r="U271" s="48"/>
      <c r="V271" s="48"/>
      <c r="AA271" s="63"/>
      <c r="AB271" s="63"/>
    </row>
    <row r="272" spans="1:28" hidden="1">
      <c r="A272" s="64" t="str">
        <f>IFERROR(VLOOKUP(A271,'Filtered Information'!$A$3:$E$66,4,FALSE),"-")</f>
        <v>-</v>
      </c>
      <c r="B272" s="27" t="s">
        <v>55</v>
      </c>
      <c r="C272" s="11"/>
      <c r="D272" s="11"/>
      <c r="E272" s="11"/>
      <c r="F272" s="11"/>
      <c r="G272" s="11"/>
      <c r="H272" s="11"/>
      <c r="I272" s="11"/>
      <c r="J272" s="12">
        <f t="shared" si="22"/>
        <v>0</v>
      </c>
      <c r="K272" s="65">
        <f>IF(J272&gt;0,K271*1.5,)</f>
        <v>0</v>
      </c>
      <c r="L272" s="13">
        <f t="shared" si="23"/>
        <v>0</v>
      </c>
      <c r="M272" s="66" t="s">
        <v>56</v>
      </c>
      <c r="N272" s="67">
        <f>N271*0.08</f>
        <v>0</v>
      </c>
      <c r="O272" s="68"/>
      <c r="P272" s="69" t="str">
        <f>IF('Filtered Information'!$B$1&gt;=A271,"NO","YES")</f>
        <v>YES</v>
      </c>
    </row>
    <row r="273" spans="1:28" hidden="1">
      <c r="A273" s="64" t="str">
        <f>IFERROR(VLOOKUP(A271,'Filtered Information'!$A$3:$E$66,3,FALSE),"-")</f>
        <v>-</v>
      </c>
      <c r="B273" s="27" t="s">
        <v>57</v>
      </c>
      <c r="C273" s="11"/>
      <c r="D273" s="11"/>
      <c r="E273" s="11"/>
      <c r="F273" s="11"/>
      <c r="G273" s="11"/>
      <c r="H273" s="11"/>
      <c r="I273" s="11"/>
      <c r="J273" s="12">
        <f t="shared" si="22"/>
        <v>0</v>
      </c>
      <c r="K273" s="65">
        <f>IF(J273&gt;0,K271*2,)</f>
        <v>0</v>
      </c>
      <c r="L273" s="13">
        <f t="shared" si="23"/>
        <v>0</v>
      </c>
      <c r="M273" s="70" t="str">
        <f>IF(K271&gt;0,"TOTAL WAGE:",0)</f>
        <v>TOTAL WAGE:</v>
      </c>
      <c r="N273" s="71">
        <f>N271+N272</f>
        <v>0</v>
      </c>
      <c r="O273" s="48">
        <f>N273</f>
        <v>0</v>
      </c>
      <c r="P273" s="69" t="str">
        <f>IF('Filtered Information'!$B$1&gt;=A271,"NO","YES")</f>
        <v>YES</v>
      </c>
    </row>
    <row r="274" spans="1:28" hidden="1">
      <c r="A274" s="82" t="str">
        <f>IFERROR(VLOOKUP(A271,'Filtered Information'!$A$3:$E$64,5,FALSE),"-")</f>
        <v>-</v>
      </c>
      <c r="B274" s="27" t="s">
        <v>58</v>
      </c>
      <c r="C274" s="11"/>
      <c r="D274" s="11"/>
      <c r="E274" s="11"/>
      <c r="F274" s="11"/>
      <c r="G274" s="11"/>
      <c r="H274" s="11"/>
      <c r="I274" s="11"/>
      <c r="J274" s="12">
        <f t="shared" si="22"/>
        <v>0</v>
      </c>
      <c r="K274" s="65"/>
      <c r="L274" s="13">
        <f t="shared" si="23"/>
        <v>0</v>
      </c>
      <c r="M274" s="72"/>
      <c r="N274" s="73"/>
      <c r="P274" s="69" t="str">
        <f>IF('Filtered Information'!$B$1&gt;=A271,"NO","YES")</f>
        <v>YES</v>
      </c>
      <c r="R274" s="74"/>
      <c r="S274" s="75"/>
      <c r="T274" s="75"/>
      <c r="U274" s="75"/>
      <c r="V274" s="75"/>
    </row>
    <row r="275" spans="1:28" s="74" customFormat="1" ht="13.5" hidden="1" thickBot="1">
      <c r="A275" s="83"/>
      <c r="B275" s="46" t="s">
        <v>60</v>
      </c>
      <c r="C275" s="14"/>
      <c r="D275" s="14"/>
      <c r="E275" s="14"/>
      <c r="F275" s="14"/>
      <c r="G275" s="14"/>
      <c r="H275" s="14"/>
      <c r="I275" s="14"/>
      <c r="J275" s="15">
        <f t="shared" ref="J275:J280" si="24">SUM(C275:I275)</f>
        <v>0</v>
      </c>
      <c r="K275" s="77">
        <f>IF(J275&gt;0,K271,)</f>
        <v>0</v>
      </c>
      <c r="L275" s="16">
        <f t="shared" ref="L275:L280" si="25">J275*K275</f>
        <v>0</v>
      </c>
      <c r="M275" s="78" t="str">
        <f>IF(K271&gt;0,"UNION 3.5%:",0)</f>
        <v>UNION 3.5%:</v>
      </c>
      <c r="N275" s="79">
        <f>N273*0.035</f>
        <v>0</v>
      </c>
      <c r="O275" s="75"/>
      <c r="P275" s="80" t="str">
        <f>IF('Filtered Information'!$B$1&gt;=A271,"NO","YES")</f>
        <v>YES</v>
      </c>
      <c r="R275" s="38"/>
      <c r="S275" s="48"/>
      <c r="T275" s="48"/>
      <c r="U275" s="48"/>
      <c r="V275" s="48"/>
      <c r="AA275" s="81"/>
      <c r="AB275" s="81"/>
    </row>
    <row r="276" spans="1:28" s="53" customFormat="1" ht="13.5" hidden="1" thickTop="1">
      <c r="A276" s="55">
        <f>A271+1</f>
        <v>54</v>
      </c>
      <c r="B276" s="56" t="s">
        <v>54</v>
      </c>
      <c r="C276" s="8"/>
      <c r="D276" s="8"/>
      <c r="E276" s="8"/>
      <c r="F276" s="8"/>
      <c r="G276" s="8"/>
      <c r="H276" s="8"/>
      <c r="I276" s="8"/>
      <c r="J276" s="9">
        <f t="shared" si="24"/>
        <v>0</v>
      </c>
      <c r="K276" s="57" t="str">
        <f>IFERROR(VLOOKUP(A276,'Filtered Information'!$A$3:$D$64,2,FALSE),"0")</f>
        <v>0</v>
      </c>
      <c r="L276" s="10">
        <f t="shared" si="25"/>
        <v>0</v>
      </c>
      <c r="M276" s="58" t="str">
        <f>IF(K276&gt;0,"SUBTOTAL:",0)</f>
        <v>SUBTOTAL:</v>
      </c>
      <c r="N276" s="59">
        <f>SUM(L276:L280)</f>
        <v>0</v>
      </c>
      <c r="O276" s="60"/>
      <c r="P276" s="61" t="str">
        <f>IF('Filtered Information'!$B$1&gt;=A276,"NO","YES")</f>
        <v>YES</v>
      </c>
      <c r="Q276" s="62"/>
      <c r="R276" s="38"/>
      <c r="S276" s="48"/>
      <c r="T276" s="48"/>
      <c r="U276" s="48"/>
      <c r="V276" s="48"/>
      <c r="AA276" s="63"/>
      <c r="AB276" s="63"/>
    </row>
    <row r="277" spans="1:28" hidden="1">
      <c r="A277" s="64" t="str">
        <f>IFERROR(VLOOKUP(A276,'Filtered Information'!$A$3:$E$66,4,FALSE),"-")</f>
        <v>-</v>
      </c>
      <c r="B277" s="27" t="s">
        <v>55</v>
      </c>
      <c r="C277" s="11"/>
      <c r="D277" s="11"/>
      <c r="E277" s="11"/>
      <c r="F277" s="11"/>
      <c r="G277" s="11"/>
      <c r="H277" s="11"/>
      <c r="I277" s="11"/>
      <c r="J277" s="12">
        <f t="shared" si="24"/>
        <v>0</v>
      </c>
      <c r="K277" s="65">
        <f>IF(J277&gt;0,K276*1.5,)</f>
        <v>0</v>
      </c>
      <c r="L277" s="13">
        <f t="shared" si="25"/>
        <v>0</v>
      </c>
      <c r="M277" s="66" t="s">
        <v>56</v>
      </c>
      <c r="N277" s="67">
        <f>N276*0.08</f>
        <v>0</v>
      </c>
      <c r="O277" s="68"/>
      <c r="P277" s="69" t="str">
        <f>IF('Filtered Information'!$B$1&gt;=A276,"NO","YES")</f>
        <v>YES</v>
      </c>
    </row>
    <row r="278" spans="1:28" hidden="1">
      <c r="A278" s="64" t="str">
        <f>IFERROR(VLOOKUP(A276,'Filtered Information'!$A$3:$E$66,3,FALSE),"-")</f>
        <v>-</v>
      </c>
      <c r="B278" s="27" t="s">
        <v>57</v>
      </c>
      <c r="C278" s="11"/>
      <c r="D278" s="11"/>
      <c r="E278" s="11"/>
      <c r="F278" s="11"/>
      <c r="G278" s="11"/>
      <c r="H278" s="11"/>
      <c r="I278" s="11"/>
      <c r="J278" s="12">
        <f t="shared" si="24"/>
        <v>0</v>
      </c>
      <c r="K278" s="65">
        <f>IF(J278&gt;0,K276*2,)</f>
        <v>0</v>
      </c>
      <c r="L278" s="13">
        <f t="shared" si="25"/>
        <v>0</v>
      </c>
      <c r="M278" s="70" t="str">
        <f>IF(K276&gt;0,"TOTAL WAGE:",0)</f>
        <v>TOTAL WAGE:</v>
      </c>
      <c r="N278" s="71">
        <f>N276+N277</f>
        <v>0</v>
      </c>
      <c r="O278" s="48">
        <f>N278</f>
        <v>0</v>
      </c>
      <c r="P278" s="69" t="str">
        <f>IF('Filtered Information'!$B$1&gt;=A276,"NO","YES")</f>
        <v>YES</v>
      </c>
    </row>
    <row r="279" spans="1:28" hidden="1">
      <c r="A279" s="82" t="str">
        <f>IFERROR(VLOOKUP(A276,'Filtered Information'!$A$3:$E$64,5,FALSE),"-")</f>
        <v>-</v>
      </c>
      <c r="B279" s="27" t="s">
        <v>58</v>
      </c>
      <c r="C279" s="11"/>
      <c r="D279" s="11"/>
      <c r="E279" s="11"/>
      <c r="F279" s="11"/>
      <c r="G279" s="11"/>
      <c r="H279" s="11"/>
      <c r="I279" s="11"/>
      <c r="J279" s="12">
        <f t="shared" si="24"/>
        <v>0</v>
      </c>
      <c r="K279" s="65"/>
      <c r="L279" s="13">
        <f t="shared" si="25"/>
        <v>0</v>
      </c>
      <c r="M279" s="72"/>
      <c r="N279" s="73"/>
      <c r="P279" s="69" t="str">
        <f>IF('Filtered Information'!$B$1&gt;=A276,"NO","YES")</f>
        <v>YES</v>
      </c>
      <c r="R279" s="74"/>
      <c r="S279" s="75"/>
      <c r="T279" s="75"/>
      <c r="U279" s="75"/>
      <c r="V279" s="75"/>
    </row>
    <row r="280" spans="1:28" s="74" customFormat="1" ht="13.5" hidden="1" thickBot="1">
      <c r="A280" s="83"/>
      <c r="B280" s="46" t="s">
        <v>60</v>
      </c>
      <c r="C280" s="14"/>
      <c r="D280" s="14"/>
      <c r="E280" s="14"/>
      <c r="F280" s="14"/>
      <c r="G280" s="14"/>
      <c r="H280" s="14"/>
      <c r="I280" s="14"/>
      <c r="J280" s="15">
        <f t="shared" si="24"/>
        <v>0</v>
      </c>
      <c r="K280" s="77">
        <f>IF(J280&gt;0,K276,)</f>
        <v>0</v>
      </c>
      <c r="L280" s="16">
        <f t="shared" si="25"/>
        <v>0</v>
      </c>
      <c r="M280" s="78" t="str">
        <f>IF(K276&gt;0,"UNION 3.5%:",0)</f>
        <v>UNION 3.5%:</v>
      </c>
      <c r="N280" s="79">
        <f>N278*0.035</f>
        <v>0</v>
      </c>
      <c r="O280" s="75"/>
      <c r="P280" s="80" t="str">
        <f>IF('Filtered Information'!$B$1&gt;=A276,"NO","YES")</f>
        <v>YES</v>
      </c>
      <c r="R280" s="38"/>
      <c r="S280" s="48"/>
      <c r="T280" s="48"/>
      <c r="U280" s="48"/>
      <c r="V280" s="48"/>
      <c r="AA280" s="81"/>
      <c r="AB280" s="81"/>
    </row>
    <row r="281" spans="1:28" s="53" customFormat="1" ht="13.5" hidden="1" thickTop="1">
      <c r="A281" s="55">
        <f>A276+1</f>
        <v>55</v>
      </c>
      <c r="B281" s="56" t="s">
        <v>54</v>
      </c>
      <c r="C281" s="8"/>
      <c r="D281" s="8"/>
      <c r="E281" s="8"/>
      <c r="F281" s="8"/>
      <c r="G281" s="8"/>
      <c r="H281" s="8"/>
      <c r="I281" s="8"/>
      <c r="J281" s="9">
        <f t="shared" ref="J281:J300" si="26">SUM(C281:I281)</f>
        <v>0</v>
      </c>
      <c r="K281" s="57" t="str">
        <f>IFERROR(VLOOKUP(A281,'Filtered Information'!$A$3:$D$64,2,FALSE),"0")</f>
        <v>0</v>
      </c>
      <c r="L281" s="10">
        <f t="shared" ref="L281:L300" si="27">J281*K281</f>
        <v>0</v>
      </c>
      <c r="M281" s="58" t="str">
        <f>IF(K281&gt;0,"SUBTOTAL:",0)</f>
        <v>SUBTOTAL:</v>
      </c>
      <c r="N281" s="59">
        <f>SUM(L281:L285)</f>
        <v>0</v>
      </c>
      <c r="O281" s="60"/>
      <c r="P281" s="61" t="str">
        <f>IF('Filtered Information'!$B$1&gt;=A281,"NO","YES")</f>
        <v>YES</v>
      </c>
      <c r="Q281" s="62"/>
      <c r="R281" s="38"/>
      <c r="S281" s="48"/>
      <c r="T281" s="48"/>
      <c r="U281" s="48"/>
      <c r="V281" s="48"/>
      <c r="AA281" s="63"/>
      <c r="AB281" s="63"/>
    </row>
    <row r="282" spans="1:28" hidden="1">
      <c r="A282" s="64" t="str">
        <f>IFERROR(VLOOKUP(A281,'Filtered Information'!$A$3:$E$66,4,FALSE),"-")</f>
        <v>-</v>
      </c>
      <c r="B282" s="27" t="s">
        <v>55</v>
      </c>
      <c r="C282" s="11"/>
      <c r="D282" s="11"/>
      <c r="E282" s="11"/>
      <c r="F282" s="11"/>
      <c r="G282" s="11"/>
      <c r="H282" s="11"/>
      <c r="I282" s="11"/>
      <c r="J282" s="12">
        <f t="shared" si="26"/>
        <v>0</v>
      </c>
      <c r="K282" s="65">
        <f>IF(J282&gt;0,K281*1.5,)</f>
        <v>0</v>
      </c>
      <c r="L282" s="13">
        <f t="shared" si="27"/>
        <v>0</v>
      </c>
      <c r="M282" s="66" t="s">
        <v>56</v>
      </c>
      <c r="N282" s="67">
        <f>N281*0.08</f>
        <v>0</v>
      </c>
      <c r="O282" s="68"/>
      <c r="P282" s="69" t="str">
        <f>IF('Filtered Information'!$B$1&gt;=A281,"NO","YES")</f>
        <v>YES</v>
      </c>
    </row>
    <row r="283" spans="1:28" hidden="1">
      <c r="A283" s="64" t="str">
        <f>IFERROR(VLOOKUP(A281,'Filtered Information'!$A$3:$E$66,3,FALSE),"-")</f>
        <v>-</v>
      </c>
      <c r="B283" s="27" t="s">
        <v>57</v>
      </c>
      <c r="C283" s="11"/>
      <c r="D283" s="11"/>
      <c r="E283" s="11"/>
      <c r="F283" s="11"/>
      <c r="G283" s="11"/>
      <c r="H283" s="11"/>
      <c r="I283" s="11"/>
      <c r="J283" s="12">
        <f t="shared" si="26"/>
        <v>0</v>
      </c>
      <c r="K283" s="65">
        <f>IF(J283&gt;0,K281*2,)</f>
        <v>0</v>
      </c>
      <c r="L283" s="13">
        <f t="shared" si="27"/>
        <v>0</v>
      </c>
      <c r="M283" s="70" t="str">
        <f>IF(K281&gt;0,"TOTAL WAGE:",0)</f>
        <v>TOTAL WAGE:</v>
      </c>
      <c r="N283" s="71">
        <f>N281+N282</f>
        <v>0</v>
      </c>
      <c r="O283" s="48">
        <f>N283</f>
        <v>0</v>
      </c>
      <c r="P283" s="69" t="str">
        <f>IF('Filtered Information'!$B$1&gt;=A281,"NO","YES")</f>
        <v>YES</v>
      </c>
    </row>
    <row r="284" spans="1:28" hidden="1">
      <c r="A284" s="82" t="str">
        <f>IFERROR(VLOOKUP(A281,'Filtered Information'!$A$3:$E$64,5,FALSE),"-")</f>
        <v>-</v>
      </c>
      <c r="B284" s="27" t="s">
        <v>58</v>
      </c>
      <c r="C284" s="11"/>
      <c r="D284" s="11"/>
      <c r="E284" s="11"/>
      <c r="F284" s="11"/>
      <c r="G284" s="11"/>
      <c r="H284" s="11"/>
      <c r="I284" s="11"/>
      <c r="J284" s="12">
        <f t="shared" si="26"/>
        <v>0</v>
      </c>
      <c r="K284" s="65"/>
      <c r="L284" s="13">
        <f t="shared" si="27"/>
        <v>0</v>
      </c>
      <c r="M284" s="72"/>
      <c r="N284" s="73"/>
      <c r="P284" s="69" t="str">
        <f>IF('Filtered Information'!$B$1&gt;=A281,"NO","YES")</f>
        <v>YES</v>
      </c>
      <c r="R284" s="74"/>
      <c r="S284" s="75"/>
      <c r="T284" s="75"/>
      <c r="U284" s="75"/>
      <c r="V284" s="75"/>
    </row>
    <row r="285" spans="1:28" s="74" customFormat="1" ht="13.5" hidden="1" thickBot="1">
      <c r="A285" s="76"/>
      <c r="B285" s="46" t="s">
        <v>60</v>
      </c>
      <c r="C285" s="14"/>
      <c r="D285" s="14"/>
      <c r="E285" s="14"/>
      <c r="F285" s="14"/>
      <c r="G285" s="14"/>
      <c r="H285" s="14"/>
      <c r="I285" s="14"/>
      <c r="J285" s="15">
        <f t="shared" si="26"/>
        <v>0</v>
      </c>
      <c r="K285" s="77">
        <f>IF(J285&gt;0,K281,)</f>
        <v>0</v>
      </c>
      <c r="L285" s="16">
        <f t="shared" si="27"/>
        <v>0</v>
      </c>
      <c r="M285" s="78" t="str">
        <f>IF(K281&gt;0,"UNION 3.5%:",0)</f>
        <v>UNION 3.5%:</v>
      </c>
      <c r="N285" s="79">
        <f>N283*0.035</f>
        <v>0</v>
      </c>
      <c r="O285" s="75"/>
      <c r="P285" s="80" t="str">
        <f>IF('Filtered Information'!$B$1&gt;=A281,"NO","YES")</f>
        <v>YES</v>
      </c>
      <c r="R285" s="38"/>
      <c r="S285" s="48"/>
      <c r="T285" s="48"/>
      <c r="U285" s="48"/>
      <c r="V285" s="48"/>
      <c r="AA285" s="81"/>
      <c r="AB285" s="81"/>
    </row>
    <row r="286" spans="1:28" s="53" customFormat="1" ht="13.5" hidden="1" thickTop="1">
      <c r="A286" s="55">
        <f>A281+1</f>
        <v>56</v>
      </c>
      <c r="B286" s="56" t="s">
        <v>54</v>
      </c>
      <c r="C286" s="8"/>
      <c r="D286" s="8"/>
      <c r="E286" s="8"/>
      <c r="F286" s="8"/>
      <c r="G286" s="8"/>
      <c r="H286" s="8"/>
      <c r="I286" s="8"/>
      <c r="J286" s="9">
        <f t="shared" si="26"/>
        <v>0</v>
      </c>
      <c r="K286" s="57" t="str">
        <f>IFERROR(VLOOKUP(A286,'Filtered Information'!$A$3:$D$64,2,FALSE),"0")</f>
        <v>0</v>
      </c>
      <c r="L286" s="10">
        <f t="shared" si="27"/>
        <v>0</v>
      </c>
      <c r="M286" s="58" t="str">
        <f>IF(K286&gt;0,"SUBTOTAL:",0)</f>
        <v>SUBTOTAL:</v>
      </c>
      <c r="N286" s="59">
        <f>SUM(L286:L290)</f>
        <v>0</v>
      </c>
      <c r="O286" s="60"/>
      <c r="P286" s="61" t="str">
        <f>IF('Filtered Information'!$B$1&gt;=A286,"NO","YES")</f>
        <v>YES</v>
      </c>
      <c r="Q286" s="62"/>
      <c r="R286" s="38"/>
      <c r="S286" s="48"/>
      <c r="T286" s="48"/>
      <c r="U286" s="48"/>
      <c r="V286" s="48"/>
      <c r="AA286" s="63"/>
      <c r="AB286" s="63"/>
    </row>
    <row r="287" spans="1:28" hidden="1">
      <c r="A287" s="64" t="str">
        <f>IFERROR(VLOOKUP(A286,'Filtered Information'!$A$3:$E$66,4,FALSE),"-")</f>
        <v>-</v>
      </c>
      <c r="B287" s="27" t="s">
        <v>55</v>
      </c>
      <c r="C287" s="11"/>
      <c r="D287" s="11"/>
      <c r="E287" s="11"/>
      <c r="F287" s="11"/>
      <c r="G287" s="11"/>
      <c r="H287" s="11"/>
      <c r="I287" s="11"/>
      <c r="J287" s="12">
        <f t="shared" si="26"/>
        <v>0</v>
      </c>
      <c r="K287" s="65">
        <f>IF(J287&gt;0,K286*1.5,)</f>
        <v>0</v>
      </c>
      <c r="L287" s="13">
        <f t="shared" si="27"/>
        <v>0</v>
      </c>
      <c r="M287" s="66" t="s">
        <v>56</v>
      </c>
      <c r="N287" s="67">
        <f>N286*0.08</f>
        <v>0</v>
      </c>
      <c r="O287" s="68"/>
      <c r="P287" s="69" t="str">
        <f>IF('Filtered Information'!$B$1&gt;=A286,"NO","YES")</f>
        <v>YES</v>
      </c>
    </row>
    <row r="288" spans="1:28" hidden="1">
      <c r="A288" s="64" t="str">
        <f>IFERROR(VLOOKUP(A286,'Filtered Information'!$A$3:$E$66,3,FALSE),"-")</f>
        <v>-</v>
      </c>
      <c r="B288" s="27" t="s">
        <v>57</v>
      </c>
      <c r="C288" s="11"/>
      <c r="D288" s="11"/>
      <c r="E288" s="11"/>
      <c r="F288" s="11"/>
      <c r="G288" s="11"/>
      <c r="H288" s="11"/>
      <c r="I288" s="11"/>
      <c r="J288" s="12">
        <f t="shared" si="26"/>
        <v>0</v>
      </c>
      <c r="K288" s="65">
        <f>IF(J288&gt;0,K286*2,)</f>
        <v>0</v>
      </c>
      <c r="L288" s="13">
        <f t="shared" si="27"/>
        <v>0</v>
      </c>
      <c r="M288" s="70" t="str">
        <f>IF(K286&gt;0,"TOTAL WAGE:",0)</f>
        <v>TOTAL WAGE:</v>
      </c>
      <c r="N288" s="71">
        <f>N286+N287</f>
        <v>0</v>
      </c>
      <c r="O288" s="48">
        <f>N288</f>
        <v>0</v>
      </c>
      <c r="P288" s="69" t="str">
        <f>IF('Filtered Information'!$B$1&gt;=A286,"NO","YES")</f>
        <v>YES</v>
      </c>
    </row>
    <row r="289" spans="1:28" hidden="1">
      <c r="A289" s="82" t="str">
        <f>IFERROR(VLOOKUP(A286,'Filtered Information'!$A$3:$E$64,5,FALSE),"-")</f>
        <v>-</v>
      </c>
      <c r="B289" s="27" t="s">
        <v>58</v>
      </c>
      <c r="C289" s="11"/>
      <c r="D289" s="11"/>
      <c r="E289" s="11"/>
      <c r="F289" s="11"/>
      <c r="G289" s="11"/>
      <c r="H289" s="11"/>
      <c r="I289" s="11"/>
      <c r="J289" s="12">
        <f t="shared" si="26"/>
        <v>0</v>
      </c>
      <c r="K289" s="65"/>
      <c r="L289" s="13">
        <f t="shared" si="27"/>
        <v>0</v>
      </c>
      <c r="M289" s="72"/>
      <c r="N289" s="73"/>
      <c r="P289" s="69" t="str">
        <f>IF('Filtered Information'!$B$1&gt;=A286,"NO","YES")</f>
        <v>YES</v>
      </c>
      <c r="R289" s="74"/>
      <c r="S289" s="75"/>
      <c r="T289" s="75"/>
      <c r="U289" s="75"/>
      <c r="V289" s="75"/>
    </row>
    <row r="290" spans="1:28" s="74" customFormat="1" ht="13.5" hidden="1" thickBot="1">
      <c r="A290" s="83"/>
      <c r="B290" s="46" t="s">
        <v>60</v>
      </c>
      <c r="C290" s="14"/>
      <c r="D290" s="14"/>
      <c r="E290" s="14"/>
      <c r="F290" s="14"/>
      <c r="G290" s="14"/>
      <c r="H290" s="14"/>
      <c r="I290" s="14"/>
      <c r="J290" s="15">
        <f t="shared" si="26"/>
        <v>0</v>
      </c>
      <c r="K290" s="77">
        <f>IF(J290&gt;0,K286,)</f>
        <v>0</v>
      </c>
      <c r="L290" s="16">
        <f t="shared" si="27"/>
        <v>0</v>
      </c>
      <c r="M290" s="78" t="str">
        <f>IF(K286&gt;0,"UNION 3.5%:",0)</f>
        <v>UNION 3.5%:</v>
      </c>
      <c r="N290" s="79">
        <f>N288*0.035</f>
        <v>0</v>
      </c>
      <c r="O290" s="75"/>
      <c r="P290" s="80" t="str">
        <f>IF('Filtered Information'!$B$1&gt;=A286,"NO","YES")</f>
        <v>YES</v>
      </c>
      <c r="R290" s="38"/>
      <c r="S290" s="48"/>
      <c r="T290" s="48"/>
      <c r="U290" s="48"/>
      <c r="V290" s="48"/>
      <c r="AA290" s="81"/>
      <c r="AB290" s="81"/>
    </row>
    <row r="291" spans="1:28" s="53" customFormat="1" ht="13.5" hidden="1" thickTop="1">
      <c r="A291" s="55">
        <f>A286+1</f>
        <v>57</v>
      </c>
      <c r="B291" s="56" t="s">
        <v>54</v>
      </c>
      <c r="C291" s="8"/>
      <c r="D291" s="8"/>
      <c r="E291" s="8"/>
      <c r="F291" s="8"/>
      <c r="G291" s="8"/>
      <c r="H291" s="8"/>
      <c r="I291" s="8"/>
      <c r="J291" s="9">
        <f t="shared" si="26"/>
        <v>0</v>
      </c>
      <c r="K291" s="57" t="str">
        <f>IFERROR(VLOOKUP(A291,'Filtered Information'!$A$3:$D$64,2,FALSE),"0")</f>
        <v>0</v>
      </c>
      <c r="L291" s="10">
        <f t="shared" si="27"/>
        <v>0</v>
      </c>
      <c r="M291" s="58" t="str">
        <f>IF(K291&gt;0,"SUBTOTAL:",0)</f>
        <v>SUBTOTAL:</v>
      </c>
      <c r="N291" s="59">
        <f>SUM(L291:L295)</f>
        <v>0</v>
      </c>
      <c r="O291" s="60"/>
      <c r="P291" s="61" t="str">
        <f>IF('Filtered Information'!$B$1&gt;=A291,"NO","YES")</f>
        <v>YES</v>
      </c>
      <c r="Q291" s="62"/>
      <c r="R291" s="38"/>
      <c r="S291" s="48"/>
      <c r="T291" s="48"/>
      <c r="U291" s="48"/>
      <c r="V291" s="48"/>
      <c r="AA291" s="63"/>
      <c r="AB291" s="63"/>
    </row>
    <row r="292" spans="1:28" hidden="1">
      <c r="A292" s="64" t="str">
        <f>IFERROR(VLOOKUP(A291,'Filtered Information'!$A$3:$E$66,4,FALSE),"-")</f>
        <v>-</v>
      </c>
      <c r="B292" s="27" t="s">
        <v>55</v>
      </c>
      <c r="C292" s="11"/>
      <c r="D292" s="11"/>
      <c r="E292" s="11"/>
      <c r="F292" s="11"/>
      <c r="G292" s="11"/>
      <c r="H292" s="11"/>
      <c r="I292" s="11"/>
      <c r="J292" s="12">
        <f t="shared" si="26"/>
        <v>0</v>
      </c>
      <c r="K292" s="65">
        <f>IF(J292&gt;0,K291*1.5,)</f>
        <v>0</v>
      </c>
      <c r="L292" s="13">
        <f t="shared" si="27"/>
        <v>0</v>
      </c>
      <c r="M292" s="66" t="s">
        <v>56</v>
      </c>
      <c r="N292" s="67">
        <f>N291*0.08</f>
        <v>0</v>
      </c>
      <c r="O292" s="68"/>
      <c r="P292" s="69" t="str">
        <f>IF('Filtered Information'!$B$1&gt;=A291,"NO","YES")</f>
        <v>YES</v>
      </c>
    </row>
    <row r="293" spans="1:28" hidden="1">
      <c r="A293" s="64" t="str">
        <f>IFERROR(VLOOKUP(A291,'Filtered Information'!$A$3:$E$66,3,FALSE),"-")</f>
        <v>-</v>
      </c>
      <c r="B293" s="27" t="s">
        <v>57</v>
      </c>
      <c r="C293" s="11"/>
      <c r="D293" s="11"/>
      <c r="E293" s="11"/>
      <c r="F293" s="11"/>
      <c r="G293" s="11"/>
      <c r="H293" s="11"/>
      <c r="I293" s="11"/>
      <c r="J293" s="12">
        <f t="shared" si="26"/>
        <v>0</v>
      </c>
      <c r="K293" s="65">
        <f>IF(J293&gt;0,K291*2,)</f>
        <v>0</v>
      </c>
      <c r="L293" s="13">
        <f t="shared" si="27"/>
        <v>0</v>
      </c>
      <c r="M293" s="70" t="str">
        <f>IF(K291&gt;0,"TOTAL WAGE:",0)</f>
        <v>TOTAL WAGE:</v>
      </c>
      <c r="N293" s="71">
        <f>N291+N292</f>
        <v>0</v>
      </c>
      <c r="O293" s="48">
        <f>N293</f>
        <v>0</v>
      </c>
      <c r="P293" s="69" t="str">
        <f>IF('Filtered Information'!$B$1&gt;=A291,"NO","YES")</f>
        <v>YES</v>
      </c>
    </row>
    <row r="294" spans="1:28" hidden="1">
      <c r="A294" s="82" t="str">
        <f>IFERROR(VLOOKUP(A291,'Filtered Information'!$A$3:$E$64,5,FALSE),"-")</f>
        <v>-</v>
      </c>
      <c r="B294" s="27" t="s">
        <v>58</v>
      </c>
      <c r="C294" s="11"/>
      <c r="D294" s="11"/>
      <c r="E294" s="11"/>
      <c r="F294" s="11"/>
      <c r="G294" s="11"/>
      <c r="H294" s="11"/>
      <c r="I294" s="11"/>
      <c r="J294" s="12">
        <f t="shared" si="26"/>
        <v>0</v>
      </c>
      <c r="K294" s="65"/>
      <c r="L294" s="13">
        <f t="shared" si="27"/>
        <v>0</v>
      </c>
      <c r="M294" s="72"/>
      <c r="N294" s="73"/>
      <c r="P294" s="69" t="str">
        <f>IF('Filtered Information'!$B$1&gt;=A291,"NO","YES")</f>
        <v>YES</v>
      </c>
      <c r="R294" s="74"/>
      <c r="S294" s="75"/>
      <c r="T294" s="75"/>
      <c r="U294" s="75"/>
      <c r="V294" s="75"/>
    </row>
    <row r="295" spans="1:28" s="74" customFormat="1" ht="13.5" hidden="1" thickBot="1">
      <c r="A295" s="83"/>
      <c r="B295" s="46" t="s">
        <v>60</v>
      </c>
      <c r="C295" s="14"/>
      <c r="D295" s="14"/>
      <c r="E295" s="14"/>
      <c r="F295" s="14"/>
      <c r="G295" s="14"/>
      <c r="H295" s="14"/>
      <c r="I295" s="14"/>
      <c r="J295" s="15">
        <f t="shared" si="26"/>
        <v>0</v>
      </c>
      <c r="K295" s="77">
        <f>IF(J295&gt;0,K291,)</f>
        <v>0</v>
      </c>
      <c r="L295" s="16">
        <f t="shared" si="27"/>
        <v>0</v>
      </c>
      <c r="M295" s="78" t="str">
        <f>IF(K291&gt;0,"UNION 3.5%:",0)</f>
        <v>UNION 3.5%:</v>
      </c>
      <c r="N295" s="79">
        <f>N293*0.035</f>
        <v>0</v>
      </c>
      <c r="O295" s="75"/>
      <c r="P295" s="80" t="str">
        <f>IF('Filtered Information'!$B$1&gt;=A291,"NO","YES")</f>
        <v>YES</v>
      </c>
      <c r="R295" s="38"/>
      <c r="S295" s="48"/>
      <c r="T295" s="48"/>
      <c r="U295" s="48"/>
      <c r="V295" s="48"/>
      <c r="AA295" s="81"/>
      <c r="AB295" s="81"/>
    </row>
    <row r="296" spans="1:28" s="53" customFormat="1" ht="13.5" hidden="1" thickTop="1">
      <c r="A296" s="55">
        <f>A291+1</f>
        <v>58</v>
      </c>
      <c r="B296" s="56" t="s">
        <v>54</v>
      </c>
      <c r="C296" s="8"/>
      <c r="D296" s="8"/>
      <c r="E296" s="8"/>
      <c r="F296" s="8"/>
      <c r="G296" s="8"/>
      <c r="H296" s="8"/>
      <c r="I296" s="8"/>
      <c r="J296" s="9">
        <f t="shared" si="26"/>
        <v>0</v>
      </c>
      <c r="K296" s="57" t="str">
        <f>IFERROR(VLOOKUP(A296,'Filtered Information'!$A$3:$D$64,2,FALSE),"0")</f>
        <v>0</v>
      </c>
      <c r="L296" s="10">
        <f t="shared" si="27"/>
        <v>0</v>
      </c>
      <c r="M296" s="58" t="str">
        <f>IF(K296&gt;0,"SUBTOTAL:",0)</f>
        <v>SUBTOTAL:</v>
      </c>
      <c r="N296" s="59">
        <f>SUM(L296:L300)</f>
        <v>0</v>
      </c>
      <c r="O296" s="60"/>
      <c r="P296" s="61" t="str">
        <f>IF('Filtered Information'!$B$1&gt;=A296,"NO","YES")</f>
        <v>YES</v>
      </c>
      <c r="Q296" s="62"/>
      <c r="R296" s="38"/>
      <c r="S296" s="48"/>
      <c r="T296" s="48"/>
      <c r="U296" s="48"/>
      <c r="V296" s="48"/>
      <c r="AA296" s="63"/>
      <c r="AB296" s="63"/>
    </row>
    <row r="297" spans="1:28" hidden="1">
      <c r="A297" s="64" t="str">
        <f>IFERROR(VLOOKUP(A296,'Filtered Information'!$A$3:$E$66,4,FALSE),"-")</f>
        <v>-</v>
      </c>
      <c r="B297" s="27" t="s">
        <v>55</v>
      </c>
      <c r="C297" s="11"/>
      <c r="D297" s="11"/>
      <c r="E297" s="11"/>
      <c r="F297" s="11"/>
      <c r="G297" s="11"/>
      <c r="H297" s="11"/>
      <c r="I297" s="11"/>
      <c r="J297" s="12">
        <f t="shared" si="26"/>
        <v>0</v>
      </c>
      <c r="K297" s="65">
        <f>IF(J297&gt;0,K296*1.5,)</f>
        <v>0</v>
      </c>
      <c r="L297" s="13">
        <f t="shared" si="27"/>
        <v>0</v>
      </c>
      <c r="M297" s="66" t="s">
        <v>56</v>
      </c>
      <c r="N297" s="67">
        <f>N296*0.08</f>
        <v>0</v>
      </c>
      <c r="O297" s="68"/>
      <c r="P297" s="69" t="str">
        <f>IF('Filtered Information'!$B$1&gt;=A296,"NO","YES")</f>
        <v>YES</v>
      </c>
    </row>
    <row r="298" spans="1:28" hidden="1">
      <c r="A298" s="64" t="str">
        <f>IFERROR(VLOOKUP(A296,'Filtered Information'!$A$3:$E$66,3,FALSE),"-")</f>
        <v>-</v>
      </c>
      <c r="B298" s="27" t="s">
        <v>57</v>
      </c>
      <c r="C298" s="11"/>
      <c r="D298" s="11"/>
      <c r="E298" s="11"/>
      <c r="F298" s="11"/>
      <c r="G298" s="11"/>
      <c r="H298" s="11"/>
      <c r="I298" s="11"/>
      <c r="J298" s="12">
        <f t="shared" si="26"/>
        <v>0</v>
      </c>
      <c r="K298" s="65">
        <f>IF(J298&gt;0,K296*2,)</f>
        <v>0</v>
      </c>
      <c r="L298" s="13">
        <f t="shared" si="27"/>
        <v>0</v>
      </c>
      <c r="M298" s="70" t="str">
        <f>IF(K296&gt;0,"TOTAL WAGE:",0)</f>
        <v>TOTAL WAGE:</v>
      </c>
      <c r="N298" s="71">
        <f>N296+N297</f>
        <v>0</v>
      </c>
      <c r="O298" s="48">
        <f>N298</f>
        <v>0</v>
      </c>
      <c r="P298" s="69" t="str">
        <f>IF('Filtered Information'!$B$1&gt;=A296,"NO","YES")</f>
        <v>YES</v>
      </c>
    </row>
    <row r="299" spans="1:28" hidden="1">
      <c r="A299" s="82" t="str">
        <f>IFERROR(VLOOKUP(A296,'Filtered Information'!$A$3:$E$64,5,FALSE),"-")</f>
        <v>-</v>
      </c>
      <c r="B299" s="27" t="s">
        <v>58</v>
      </c>
      <c r="C299" s="11"/>
      <c r="D299" s="11"/>
      <c r="E299" s="11"/>
      <c r="F299" s="11"/>
      <c r="G299" s="11"/>
      <c r="H299" s="11"/>
      <c r="I299" s="11"/>
      <c r="J299" s="12">
        <f t="shared" si="26"/>
        <v>0</v>
      </c>
      <c r="K299" s="65"/>
      <c r="L299" s="13">
        <f t="shared" si="27"/>
        <v>0</v>
      </c>
      <c r="M299" s="72"/>
      <c r="N299" s="73"/>
      <c r="P299" s="69" t="str">
        <f>IF('Filtered Information'!$B$1&gt;=A296,"NO","YES")</f>
        <v>YES</v>
      </c>
      <c r="R299" s="74"/>
      <c r="S299" s="75"/>
      <c r="T299" s="75"/>
      <c r="U299" s="75"/>
      <c r="V299" s="75"/>
    </row>
    <row r="300" spans="1:28" s="74" customFormat="1" ht="13.5" hidden="1" thickBot="1">
      <c r="A300" s="83"/>
      <c r="B300" s="46" t="s">
        <v>60</v>
      </c>
      <c r="C300" s="14"/>
      <c r="D300" s="14"/>
      <c r="E300" s="14"/>
      <c r="F300" s="14"/>
      <c r="G300" s="14"/>
      <c r="H300" s="14"/>
      <c r="I300" s="14"/>
      <c r="J300" s="15">
        <f t="shared" si="26"/>
        <v>0</v>
      </c>
      <c r="K300" s="77">
        <f>IF(J300&gt;0,K296,)</f>
        <v>0</v>
      </c>
      <c r="L300" s="16">
        <f t="shared" si="27"/>
        <v>0</v>
      </c>
      <c r="M300" s="78" t="str">
        <f>IF(K296&gt;0,"UNION 3.5%:",0)</f>
        <v>UNION 3.5%:</v>
      </c>
      <c r="N300" s="79">
        <f>N298*0.035</f>
        <v>0</v>
      </c>
      <c r="O300" s="75"/>
      <c r="P300" s="80" t="str">
        <f>IF('Filtered Information'!$B$1&gt;=A296,"NO","YES")</f>
        <v>YES</v>
      </c>
      <c r="R300" s="38"/>
      <c r="S300" s="48"/>
      <c r="T300" s="48"/>
      <c r="U300" s="48"/>
      <c r="V300" s="48"/>
      <c r="AA300" s="81"/>
      <c r="AB300" s="81"/>
    </row>
    <row r="301" spans="1:28" s="53" customFormat="1" ht="13.5" hidden="1" thickTop="1">
      <c r="A301" s="55">
        <f>A296+1</f>
        <v>59</v>
      </c>
      <c r="B301" s="56" t="s">
        <v>54</v>
      </c>
      <c r="C301" s="8"/>
      <c r="D301" s="8"/>
      <c r="E301" s="8"/>
      <c r="F301" s="8"/>
      <c r="G301" s="8"/>
      <c r="H301" s="8"/>
      <c r="I301" s="8"/>
      <c r="J301" s="9">
        <f t="shared" ref="J301:J330" si="28">SUM(C301:I301)</f>
        <v>0</v>
      </c>
      <c r="K301" s="57" t="str">
        <f>IFERROR(VLOOKUP(A301,'Filtered Information'!$A$3:$D$64,2,FALSE),"0")</f>
        <v>0</v>
      </c>
      <c r="L301" s="10">
        <f t="shared" ref="L301:L330" si="29">J301*K301</f>
        <v>0</v>
      </c>
      <c r="M301" s="58" t="str">
        <f>IF(K301&gt;0,"SUBTOTAL:",0)</f>
        <v>SUBTOTAL:</v>
      </c>
      <c r="N301" s="59">
        <f>SUM(L301:L305)</f>
        <v>0</v>
      </c>
      <c r="O301" s="60"/>
      <c r="P301" s="61" t="str">
        <f>IF('Filtered Information'!$B$1&gt;=A301,"NO","YES")</f>
        <v>YES</v>
      </c>
      <c r="Q301" s="62"/>
      <c r="R301" s="38"/>
      <c r="S301" s="48"/>
      <c r="T301" s="48"/>
      <c r="U301" s="48"/>
      <c r="V301" s="48"/>
      <c r="AA301" s="63"/>
      <c r="AB301" s="63"/>
    </row>
    <row r="302" spans="1:28" hidden="1">
      <c r="A302" s="64" t="str">
        <f>IFERROR(VLOOKUP(A301,'Filtered Information'!$A$3:$E$66,4,FALSE),"-")</f>
        <v>-</v>
      </c>
      <c r="B302" s="27" t="s">
        <v>55</v>
      </c>
      <c r="C302" s="11"/>
      <c r="D302" s="11"/>
      <c r="E302" s="11"/>
      <c r="F302" s="11"/>
      <c r="G302" s="11"/>
      <c r="H302" s="11"/>
      <c r="I302" s="11"/>
      <c r="J302" s="12">
        <f t="shared" si="28"/>
        <v>0</v>
      </c>
      <c r="K302" s="65">
        <f>IF(J302&gt;0,K301*1.5,)</f>
        <v>0</v>
      </c>
      <c r="L302" s="13">
        <f t="shared" si="29"/>
        <v>0</v>
      </c>
      <c r="M302" s="66" t="s">
        <v>56</v>
      </c>
      <c r="N302" s="67">
        <f>N301*0.08</f>
        <v>0</v>
      </c>
      <c r="O302" s="68"/>
      <c r="P302" s="69" t="str">
        <f>IF('Filtered Information'!$B$1&gt;=A301,"NO","YES")</f>
        <v>YES</v>
      </c>
    </row>
    <row r="303" spans="1:28" hidden="1">
      <c r="A303" s="64" t="str">
        <f>IFERROR(VLOOKUP(A301,'Filtered Information'!$A$3:$E$66,3,FALSE),"-")</f>
        <v>-</v>
      </c>
      <c r="B303" s="27" t="s">
        <v>57</v>
      </c>
      <c r="C303" s="11"/>
      <c r="D303" s="11"/>
      <c r="E303" s="11"/>
      <c r="F303" s="11"/>
      <c r="G303" s="11"/>
      <c r="H303" s="11"/>
      <c r="I303" s="11"/>
      <c r="J303" s="12">
        <f t="shared" si="28"/>
        <v>0</v>
      </c>
      <c r="K303" s="65">
        <f>IF(J303&gt;0,K301*2,)</f>
        <v>0</v>
      </c>
      <c r="L303" s="13">
        <f t="shared" si="29"/>
        <v>0</v>
      </c>
      <c r="M303" s="70" t="str">
        <f>IF(K301&gt;0,"TOTAL WAGE:",0)</f>
        <v>TOTAL WAGE:</v>
      </c>
      <c r="N303" s="71">
        <f>N301+N302</f>
        <v>0</v>
      </c>
      <c r="O303" s="48">
        <f>N303</f>
        <v>0</v>
      </c>
      <c r="P303" s="69" t="str">
        <f>IF('Filtered Information'!$B$1&gt;=A301,"NO","YES")</f>
        <v>YES</v>
      </c>
    </row>
    <row r="304" spans="1:28" hidden="1">
      <c r="A304" s="82" t="str">
        <f>IFERROR(VLOOKUP(A301,'Filtered Information'!$A$3:$E$64,5,FALSE),"-")</f>
        <v>-</v>
      </c>
      <c r="B304" s="27" t="s">
        <v>58</v>
      </c>
      <c r="C304" s="11"/>
      <c r="D304" s="11"/>
      <c r="E304" s="11"/>
      <c r="F304" s="11"/>
      <c r="G304" s="11"/>
      <c r="H304" s="11"/>
      <c r="I304" s="11"/>
      <c r="J304" s="12">
        <f t="shared" si="28"/>
        <v>0</v>
      </c>
      <c r="K304" s="65"/>
      <c r="L304" s="13">
        <f t="shared" si="29"/>
        <v>0</v>
      </c>
      <c r="M304" s="72"/>
      <c r="N304" s="73"/>
      <c r="P304" s="69" t="str">
        <f>IF('Filtered Information'!$B$1&gt;=A301,"NO","YES")</f>
        <v>YES</v>
      </c>
      <c r="R304" s="74"/>
      <c r="S304" s="75"/>
      <c r="T304" s="75"/>
      <c r="U304" s="75"/>
      <c r="V304" s="75"/>
    </row>
    <row r="305" spans="1:28" s="74" customFormat="1" ht="13.5" hidden="1" thickBot="1">
      <c r="A305" s="83"/>
      <c r="B305" s="46" t="s">
        <v>60</v>
      </c>
      <c r="C305" s="14"/>
      <c r="D305" s="14"/>
      <c r="E305" s="14"/>
      <c r="F305" s="14"/>
      <c r="G305" s="14"/>
      <c r="H305" s="14"/>
      <c r="I305" s="14"/>
      <c r="J305" s="15">
        <f t="shared" si="28"/>
        <v>0</v>
      </c>
      <c r="K305" s="77">
        <f>IF(J305&gt;0,K301,)</f>
        <v>0</v>
      </c>
      <c r="L305" s="16">
        <f t="shared" si="29"/>
        <v>0</v>
      </c>
      <c r="M305" s="78" t="str">
        <f>IF(K301&gt;0,"UNION 3.5%:",0)</f>
        <v>UNION 3.5%:</v>
      </c>
      <c r="N305" s="79">
        <f>N303*0.035</f>
        <v>0</v>
      </c>
      <c r="O305" s="75"/>
      <c r="P305" s="80" t="str">
        <f>IF('Filtered Information'!$B$1&gt;=A301,"NO","YES")</f>
        <v>YES</v>
      </c>
      <c r="R305" s="38"/>
      <c r="S305" s="48"/>
      <c r="T305" s="48"/>
      <c r="U305" s="48"/>
      <c r="V305" s="48"/>
      <c r="AA305" s="81"/>
      <c r="AB305" s="81"/>
    </row>
    <row r="306" spans="1:28" s="53" customFormat="1" ht="13.5" hidden="1" thickTop="1">
      <c r="A306" s="55">
        <f>A301+1</f>
        <v>60</v>
      </c>
      <c r="B306" s="56" t="s">
        <v>54</v>
      </c>
      <c r="C306" s="8"/>
      <c r="D306" s="8"/>
      <c r="E306" s="8"/>
      <c r="F306" s="8"/>
      <c r="G306" s="8"/>
      <c r="H306" s="8"/>
      <c r="I306" s="8"/>
      <c r="J306" s="9">
        <f t="shared" si="28"/>
        <v>0</v>
      </c>
      <c r="K306" s="57" t="str">
        <f>IFERROR(VLOOKUP(A306,'Filtered Information'!$A$3:$D$64,2,FALSE),"0")</f>
        <v>0</v>
      </c>
      <c r="L306" s="10">
        <f t="shared" si="29"/>
        <v>0</v>
      </c>
      <c r="M306" s="58" t="str">
        <f>IF(K306&gt;0,"SUBTOTAL:",0)</f>
        <v>SUBTOTAL:</v>
      </c>
      <c r="N306" s="59">
        <f>SUM(L306:L310)</f>
        <v>0</v>
      </c>
      <c r="O306" s="60"/>
      <c r="P306" s="61" t="str">
        <f>IF('Filtered Information'!$B$1&gt;=A306,"NO","YES")</f>
        <v>YES</v>
      </c>
      <c r="Q306" s="62"/>
      <c r="R306" s="38"/>
      <c r="S306" s="48"/>
      <c r="T306" s="48"/>
      <c r="U306" s="48"/>
      <c r="V306" s="48"/>
      <c r="AA306" s="63"/>
      <c r="AB306" s="63"/>
    </row>
    <row r="307" spans="1:28" hidden="1">
      <c r="A307" s="64" t="str">
        <f>IFERROR(VLOOKUP(A306,'Filtered Information'!$A$3:$E$66,4,FALSE),"-")</f>
        <v>-</v>
      </c>
      <c r="B307" s="27" t="s">
        <v>55</v>
      </c>
      <c r="C307" s="11"/>
      <c r="D307" s="11"/>
      <c r="E307" s="11"/>
      <c r="F307" s="11"/>
      <c r="G307" s="11"/>
      <c r="H307" s="11"/>
      <c r="I307" s="11"/>
      <c r="J307" s="12">
        <f t="shared" si="28"/>
        <v>0</v>
      </c>
      <c r="K307" s="65">
        <f>IF(J307&gt;0,K306*1.5,)</f>
        <v>0</v>
      </c>
      <c r="L307" s="13">
        <f t="shared" si="29"/>
        <v>0</v>
      </c>
      <c r="M307" s="66" t="s">
        <v>56</v>
      </c>
      <c r="N307" s="67">
        <f>N306*0.08</f>
        <v>0</v>
      </c>
      <c r="O307" s="68"/>
      <c r="P307" s="69" t="str">
        <f>IF('Filtered Information'!$B$1&gt;=A306,"NO","YES")</f>
        <v>YES</v>
      </c>
    </row>
    <row r="308" spans="1:28" hidden="1">
      <c r="A308" s="64" t="str">
        <f>IFERROR(VLOOKUP(A306,'Filtered Information'!$A$3:$E$66,3,FALSE),"-")</f>
        <v>-</v>
      </c>
      <c r="B308" s="27" t="s">
        <v>57</v>
      </c>
      <c r="C308" s="11"/>
      <c r="D308" s="11"/>
      <c r="E308" s="11"/>
      <c r="F308" s="11"/>
      <c r="G308" s="11"/>
      <c r="H308" s="11"/>
      <c r="I308" s="11"/>
      <c r="J308" s="12">
        <f t="shared" si="28"/>
        <v>0</v>
      </c>
      <c r="K308" s="65">
        <f>IF(J308&gt;0,K306*2,)</f>
        <v>0</v>
      </c>
      <c r="L308" s="13">
        <f t="shared" si="29"/>
        <v>0</v>
      </c>
      <c r="M308" s="70" t="str">
        <f>IF(K306&gt;0,"TOTAL WAGE:",0)</f>
        <v>TOTAL WAGE:</v>
      </c>
      <c r="N308" s="71">
        <f>N306+N307</f>
        <v>0</v>
      </c>
      <c r="O308" s="48">
        <f>N308</f>
        <v>0</v>
      </c>
      <c r="P308" s="69" t="str">
        <f>IF('Filtered Information'!$B$1&gt;=A306,"NO","YES")</f>
        <v>YES</v>
      </c>
    </row>
    <row r="309" spans="1:28" hidden="1">
      <c r="A309" s="82" t="str">
        <f>IFERROR(VLOOKUP(A306,'Filtered Information'!$A$3:$E$64,5,FALSE),"-")</f>
        <v>-</v>
      </c>
      <c r="B309" s="27" t="s">
        <v>58</v>
      </c>
      <c r="C309" s="11"/>
      <c r="D309" s="11"/>
      <c r="E309" s="11"/>
      <c r="F309" s="11"/>
      <c r="G309" s="11"/>
      <c r="H309" s="11"/>
      <c r="I309" s="11"/>
      <c r="J309" s="12">
        <f t="shared" si="28"/>
        <v>0</v>
      </c>
      <c r="K309" s="65"/>
      <c r="L309" s="13">
        <f t="shared" si="29"/>
        <v>0</v>
      </c>
      <c r="M309" s="72"/>
      <c r="N309" s="73"/>
      <c r="P309" s="69" t="str">
        <f>IF('Filtered Information'!$B$1&gt;=A306,"NO","YES")</f>
        <v>YES</v>
      </c>
      <c r="R309" s="74"/>
      <c r="S309" s="75"/>
      <c r="T309" s="75"/>
      <c r="U309" s="75"/>
      <c r="V309" s="75"/>
    </row>
    <row r="310" spans="1:28" s="74" customFormat="1" ht="13.5" hidden="1" thickBot="1">
      <c r="A310" s="83"/>
      <c r="B310" s="46" t="s">
        <v>60</v>
      </c>
      <c r="C310" s="14"/>
      <c r="D310" s="14"/>
      <c r="E310" s="14"/>
      <c r="F310" s="14"/>
      <c r="G310" s="14"/>
      <c r="H310" s="14"/>
      <c r="I310" s="14"/>
      <c r="J310" s="15">
        <f t="shared" si="28"/>
        <v>0</v>
      </c>
      <c r="K310" s="77">
        <f>IF(J310&gt;0,K306,)</f>
        <v>0</v>
      </c>
      <c r="L310" s="16">
        <f t="shared" si="29"/>
        <v>0</v>
      </c>
      <c r="M310" s="78" t="str">
        <f>IF(K306&gt;0,"UNION 3.5%:",0)</f>
        <v>UNION 3.5%:</v>
      </c>
      <c r="N310" s="79">
        <f>N308*0.035</f>
        <v>0</v>
      </c>
      <c r="O310" s="75"/>
      <c r="P310" s="80" t="str">
        <f>IF('Filtered Information'!$B$1&gt;=A306,"NO","YES")</f>
        <v>YES</v>
      </c>
      <c r="R310" s="38"/>
      <c r="S310" s="48"/>
      <c r="T310" s="48"/>
      <c r="U310" s="48"/>
      <c r="V310" s="48"/>
      <c r="AA310" s="81"/>
      <c r="AB310" s="81"/>
    </row>
    <row r="311" spans="1:28" s="53" customFormat="1" ht="13.5" hidden="1" thickTop="1">
      <c r="A311" s="55">
        <f>A306+1</f>
        <v>61</v>
      </c>
      <c r="B311" s="56" t="s">
        <v>54</v>
      </c>
      <c r="C311" s="8"/>
      <c r="D311" s="8"/>
      <c r="E311" s="8"/>
      <c r="F311" s="8"/>
      <c r="G311" s="8"/>
      <c r="H311" s="8"/>
      <c r="I311" s="8"/>
      <c r="J311" s="9">
        <f t="shared" si="28"/>
        <v>0</v>
      </c>
      <c r="K311" s="57" t="str">
        <f>IFERROR(VLOOKUP(A311,'Filtered Information'!$A$3:$D$64,2,FALSE),"0")</f>
        <v>0</v>
      </c>
      <c r="L311" s="10">
        <f t="shared" si="29"/>
        <v>0</v>
      </c>
      <c r="M311" s="58" t="str">
        <f>IF(K311&gt;0,"SUBTOTAL:",0)</f>
        <v>SUBTOTAL:</v>
      </c>
      <c r="N311" s="59">
        <f>SUM(L311:L315)</f>
        <v>0</v>
      </c>
      <c r="O311" s="60"/>
      <c r="P311" s="61" t="str">
        <f>IF('Filtered Information'!$B$1&gt;=A311,"NO","YES")</f>
        <v>YES</v>
      </c>
      <c r="Q311" s="62"/>
      <c r="R311" s="38"/>
      <c r="S311" s="48"/>
      <c r="T311" s="48"/>
      <c r="U311" s="48"/>
      <c r="V311" s="48"/>
      <c r="AA311" s="63"/>
      <c r="AB311" s="63"/>
    </row>
    <row r="312" spans="1:28" hidden="1">
      <c r="A312" s="64" t="str">
        <f>IFERROR(VLOOKUP(A311,'Filtered Information'!$A$3:$E$66,4,FALSE),"-")</f>
        <v>-</v>
      </c>
      <c r="B312" s="27" t="s">
        <v>55</v>
      </c>
      <c r="C312" s="11"/>
      <c r="D312" s="11"/>
      <c r="E312" s="11"/>
      <c r="F312" s="11"/>
      <c r="G312" s="11"/>
      <c r="H312" s="11"/>
      <c r="I312" s="11"/>
      <c r="J312" s="12">
        <f t="shared" si="28"/>
        <v>0</v>
      </c>
      <c r="K312" s="65">
        <f>IF(J312&gt;0,K311*1.5,)</f>
        <v>0</v>
      </c>
      <c r="L312" s="13">
        <f t="shared" si="29"/>
        <v>0</v>
      </c>
      <c r="M312" s="66" t="s">
        <v>56</v>
      </c>
      <c r="N312" s="67">
        <f>N311*0.08</f>
        <v>0</v>
      </c>
      <c r="O312" s="68"/>
      <c r="P312" s="69" t="str">
        <f>IF('Filtered Information'!$B$1&gt;=A311,"NO","YES")</f>
        <v>YES</v>
      </c>
    </row>
    <row r="313" spans="1:28" hidden="1">
      <c r="A313" s="64" t="str">
        <f>IFERROR(VLOOKUP(A311,'Filtered Information'!$A$3:$E$66,3,FALSE),"-")</f>
        <v>-</v>
      </c>
      <c r="B313" s="27" t="s">
        <v>57</v>
      </c>
      <c r="C313" s="11"/>
      <c r="D313" s="11"/>
      <c r="E313" s="11"/>
      <c r="F313" s="11"/>
      <c r="G313" s="11"/>
      <c r="H313" s="11"/>
      <c r="I313" s="11"/>
      <c r="J313" s="12">
        <f t="shared" si="28"/>
        <v>0</v>
      </c>
      <c r="K313" s="65">
        <f>IF(J313&gt;0,K311*2,)</f>
        <v>0</v>
      </c>
      <c r="L313" s="13">
        <f t="shared" si="29"/>
        <v>0</v>
      </c>
      <c r="M313" s="70" t="str">
        <f>IF(K311&gt;0,"TOTAL WAGE:",0)</f>
        <v>TOTAL WAGE:</v>
      </c>
      <c r="N313" s="71">
        <f>N311+N312</f>
        <v>0</v>
      </c>
      <c r="O313" s="48">
        <f>N313</f>
        <v>0</v>
      </c>
      <c r="P313" s="69" t="str">
        <f>IF('Filtered Information'!$B$1&gt;=A311,"NO","YES")</f>
        <v>YES</v>
      </c>
    </row>
    <row r="314" spans="1:28" hidden="1">
      <c r="A314" s="82" t="str">
        <f>IFERROR(VLOOKUP(A311,'Filtered Information'!$A$3:$E$64,5,FALSE),"-")</f>
        <v>-</v>
      </c>
      <c r="B314" s="27" t="s">
        <v>58</v>
      </c>
      <c r="C314" s="11"/>
      <c r="D314" s="11"/>
      <c r="E314" s="11"/>
      <c r="F314" s="11"/>
      <c r="G314" s="11"/>
      <c r="H314" s="11"/>
      <c r="I314" s="11"/>
      <c r="J314" s="12">
        <f t="shared" si="28"/>
        <v>0</v>
      </c>
      <c r="K314" s="65"/>
      <c r="L314" s="13">
        <f t="shared" si="29"/>
        <v>0</v>
      </c>
      <c r="M314" s="72"/>
      <c r="N314" s="73"/>
      <c r="P314" s="69" t="str">
        <f>IF('Filtered Information'!$B$1&gt;=A311,"NO","YES")</f>
        <v>YES</v>
      </c>
      <c r="R314" s="74"/>
      <c r="S314" s="75"/>
      <c r="T314" s="75"/>
      <c r="U314" s="75"/>
      <c r="V314" s="75"/>
    </row>
    <row r="315" spans="1:28" s="74" customFormat="1" ht="13.5" hidden="1" thickBot="1">
      <c r="A315" s="83"/>
      <c r="B315" s="46" t="s">
        <v>60</v>
      </c>
      <c r="C315" s="14"/>
      <c r="D315" s="14"/>
      <c r="E315" s="14"/>
      <c r="F315" s="14"/>
      <c r="G315" s="14"/>
      <c r="H315" s="14"/>
      <c r="I315" s="14"/>
      <c r="J315" s="15">
        <f t="shared" si="28"/>
        <v>0</v>
      </c>
      <c r="K315" s="77">
        <f>IF(J315&gt;0,K311,)</f>
        <v>0</v>
      </c>
      <c r="L315" s="16">
        <f t="shared" si="29"/>
        <v>0</v>
      </c>
      <c r="M315" s="78" t="str">
        <f>IF(K311&gt;0,"UNION 3.5%:",0)</f>
        <v>UNION 3.5%:</v>
      </c>
      <c r="N315" s="79">
        <f>N313*0.035</f>
        <v>0</v>
      </c>
      <c r="O315" s="75"/>
      <c r="P315" s="80" t="str">
        <f>IF('Filtered Information'!$B$1&gt;=A311,"NO","YES")</f>
        <v>YES</v>
      </c>
      <c r="R315" s="38"/>
      <c r="S315" s="48"/>
      <c r="T315" s="48"/>
      <c r="U315" s="48"/>
      <c r="V315" s="48"/>
      <c r="AA315" s="81"/>
      <c r="AB315" s="81"/>
    </row>
    <row r="316" spans="1:28" s="53" customFormat="1" ht="13.5" hidden="1" thickTop="1">
      <c r="A316" s="55">
        <f>A311+1</f>
        <v>62</v>
      </c>
      <c r="B316" s="56" t="s">
        <v>54</v>
      </c>
      <c r="C316" s="8"/>
      <c r="D316" s="8"/>
      <c r="E316" s="8"/>
      <c r="F316" s="8"/>
      <c r="G316" s="8"/>
      <c r="H316" s="8"/>
      <c r="I316" s="8"/>
      <c r="J316" s="9">
        <f t="shared" si="28"/>
        <v>0</v>
      </c>
      <c r="K316" s="57" t="str">
        <f>IFERROR(VLOOKUP(A316,'Filtered Information'!$A$3:$D$64,2,FALSE),"0")</f>
        <v>0</v>
      </c>
      <c r="L316" s="10">
        <f t="shared" si="29"/>
        <v>0</v>
      </c>
      <c r="M316" s="58" t="str">
        <f>IF(K316&gt;0,"SUBTOTAL:",0)</f>
        <v>SUBTOTAL:</v>
      </c>
      <c r="N316" s="59">
        <f>SUM(L316:L320)</f>
        <v>0</v>
      </c>
      <c r="O316" s="60"/>
      <c r="P316" s="61" t="str">
        <f>IF('Filtered Information'!$B$1&gt;=A316,"NO","YES")</f>
        <v>YES</v>
      </c>
      <c r="Q316" s="62"/>
      <c r="R316" s="38"/>
      <c r="S316" s="48"/>
      <c r="T316" s="48"/>
      <c r="U316" s="48"/>
      <c r="V316" s="48"/>
      <c r="AA316" s="63"/>
      <c r="AB316" s="63"/>
    </row>
    <row r="317" spans="1:28" hidden="1">
      <c r="A317" s="64" t="str">
        <f>IFERROR(VLOOKUP(A316,'Filtered Information'!$A$3:$E$66,4,FALSE),"-")</f>
        <v>-</v>
      </c>
      <c r="B317" s="27" t="s">
        <v>55</v>
      </c>
      <c r="C317" s="11"/>
      <c r="D317" s="11"/>
      <c r="E317" s="11"/>
      <c r="F317" s="11"/>
      <c r="G317" s="11"/>
      <c r="H317" s="11"/>
      <c r="I317" s="11"/>
      <c r="J317" s="12">
        <f t="shared" si="28"/>
        <v>0</v>
      </c>
      <c r="K317" s="65">
        <f>IF(J317&gt;0,K316*1.5,)</f>
        <v>0</v>
      </c>
      <c r="L317" s="13">
        <f t="shared" si="29"/>
        <v>0</v>
      </c>
      <c r="M317" s="66" t="s">
        <v>56</v>
      </c>
      <c r="N317" s="67">
        <f>N316*0.08</f>
        <v>0</v>
      </c>
      <c r="O317" s="68"/>
      <c r="P317" s="69" t="str">
        <f>IF('Filtered Information'!$B$1&gt;=A316,"NO","YES")</f>
        <v>YES</v>
      </c>
    </row>
    <row r="318" spans="1:28" hidden="1">
      <c r="A318" s="64" t="str">
        <f>IFERROR(VLOOKUP(A316,'Filtered Information'!$A$3:$E$66,3,FALSE),"-")</f>
        <v>-</v>
      </c>
      <c r="B318" s="27" t="s">
        <v>57</v>
      </c>
      <c r="C318" s="11"/>
      <c r="D318" s="11"/>
      <c r="E318" s="11"/>
      <c r="F318" s="11"/>
      <c r="G318" s="11"/>
      <c r="H318" s="11"/>
      <c r="I318" s="11"/>
      <c r="J318" s="12">
        <f t="shared" si="28"/>
        <v>0</v>
      </c>
      <c r="K318" s="65">
        <f>IF(J318&gt;0,K316*2,)</f>
        <v>0</v>
      </c>
      <c r="L318" s="13">
        <f t="shared" si="29"/>
        <v>0</v>
      </c>
      <c r="M318" s="70" t="str">
        <f>IF(K316&gt;0,"TOTAL WAGE:",0)</f>
        <v>TOTAL WAGE:</v>
      </c>
      <c r="N318" s="71">
        <f>N316+N317</f>
        <v>0</v>
      </c>
      <c r="O318" s="48">
        <f>N318</f>
        <v>0</v>
      </c>
      <c r="P318" s="69" t="str">
        <f>IF('Filtered Information'!$B$1&gt;=A316,"NO","YES")</f>
        <v>YES</v>
      </c>
    </row>
    <row r="319" spans="1:28" hidden="1">
      <c r="A319" s="82" t="str">
        <f>IFERROR(VLOOKUP(A316,'Filtered Information'!$A$3:$E$64,5,FALSE),"-")</f>
        <v>-</v>
      </c>
      <c r="B319" s="27" t="s">
        <v>58</v>
      </c>
      <c r="C319" s="11"/>
      <c r="D319" s="11"/>
      <c r="E319" s="11"/>
      <c r="F319" s="11"/>
      <c r="G319" s="11"/>
      <c r="H319" s="11"/>
      <c r="I319" s="11"/>
      <c r="J319" s="12">
        <f t="shared" si="28"/>
        <v>0</v>
      </c>
      <c r="K319" s="65"/>
      <c r="L319" s="13">
        <f t="shared" si="29"/>
        <v>0</v>
      </c>
      <c r="M319" s="72"/>
      <c r="N319" s="73"/>
      <c r="P319" s="69" t="str">
        <f>IF('Filtered Information'!$B$1&gt;=A316,"NO","YES")</f>
        <v>YES</v>
      </c>
      <c r="R319" s="74"/>
      <c r="S319" s="75"/>
      <c r="T319" s="75"/>
      <c r="U319" s="75"/>
      <c r="V319" s="75"/>
    </row>
    <row r="320" spans="1:28" s="74" customFormat="1" ht="13.5" hidden="1" thickBot="1">
      <c r="A320" s="83"/>
      <c r="B320" s="46" t="s">
        <v>60</v>
      </c>
      <c r="C320" s="14"/>
      <c r="D320" s="14"/>
      <c r="E320" s="14"/>
      <c r="F320" s="14"/>
      <c r="G320" s="14"/>
      <c r="H320" s="14"/>
      <c r="I320" s="14"/>
      <c r="J320" s="15">
        <f t="shared" si="28"/>
        <v>0</v>
      </c>
      <c r="K320" s="77">
        <f>IF(J320&gt;0,K316,)</f>
        <v>0</v>
      </c>
      <c r="L320" s="16">
        <f t="shared" si="29"/>
        <v>0</v>
      </c>
      <c r="M320" s="78" t="str">
        <f>IF(K316&gt;0,"UNION 3.5%:",0)</f>
        <v>UNION 3.5%:</v>
      </c>
      <c r="N320" s="79">
        <f>N318*0.035</f>
        <v>0</v>
      </c>
      <c r="O320" s="75"/>
      <c r="P320" s="80" t="str">
        <f>IF('Filtered Information'!$B$1&gt;=A316,"NO","YES")</f>
        <v>YES</v>
      </c>
      <c r="R320" s="38"/>
      <c r="S320" s="48"/>
      <c r="T320" s="48"/>
      <c r="U320" s="48"/>
      <c r="V320" s="48"/>
      <c r="AA320" s="81"/>
      <c r="AB320" s="81"/>
    </row>
    <row r="321" spans="1:43" s="53" customFormat="1" ht="13.5" hidden="1" thickTop="1">
      <c r="A321" s="55">
        <f>A316+1</f>
        <v>63</v>
      </c>
      <c r="B321" s="56" t="s">
        <v>54</v>
      </c>
      <c r="C321" s="8"/>
      <c r="D321" s="8"/>
      <c r="E321" s="8"/>
      <c r="F321" s="8"/>
      <c r="G321" s="8"/>
      <c r="H321" s="8"/>
      <c r="I321" s="8"/>
      <c r="J321" s="9">
        <f t="shared" si="28"/>
        <v>0</v>
      </c>
      <c r="K321" s="57" t="str">
        <f>IFERROR(VLOOKUP(A321,'Filtered Information'!$A$3:$D$66,2,FALSE),"0")</f>
        <v>0</v>
      </c>
      <c r="L321" s="10">
        <f t="shared" si="29"/>
        <v>0</v>
      </c>
      <c r="M321" s="58" t="str">
        <f>IF(K321&gt;0,"SUBTOTAL:",0)</f>
        <v>SUBTOTAL:</v>
      </c>
      <c r="N321" s="59">
        <f>SUM(L321:L325)</f>
        <v>0</v>
      </c>
      <c r="O321" s="60"/>
      <c r="P321" s="61" t="str">
        <f>IF('Filtered Information'!$B$1&gt;=A321,"NO","YES")</f>
        <v>YES</v>
      </c>
      <c r="Q321" s="62"/>
      <c r="R321" s="38"/>
      <c r="S321" s="48"/>
      <c r="T321" s="48"/>
      <c r="U321" s="48"/>
      <c r="V321" s="48"/>
      <c r="AA321" s="63"/>
      <c r="AB321" s="63"/>
    </row>
    <row r="322" spans="1:43" hidden="1">
      <c r="A322" s="64" t="str">
        <f>IFERROR(VLOOKUP(A321,'Filtered Information'!$A$3:$E$66,4,FALSE),"-")</f>
        <v>-</v>
      </c>
      <c r="B322" s="27" t="s">
        <v>55</v>
      </c>
      <c r="C322" s="11"/>
      <c r="D322" s="11"/>
      <c r="E322" s="11"/>
      <c r="F322" s="11"/>
      <c r="G322" s="11"/>
      <c r="H322" s="11"/>
      <c r="I322" s="11"/>
      <c r="J322" s="12">
        <f t="shared" si="28"/>
        <v>0</v>
      </c>
      <c r="K322" s="65">
        <f>IF(J322&gt;0,K321*1.5,)</f>
        <v>0</v>
      </c>
      <c r="L322" s="13">
        <f t="shared" si="29"/>
        <v>0</v>
      </c>
      <c r="M322" s="66" t="s">
        <v>56</v>
      </c>
      <c r="N322" s="67">
        <f>N321*0.08</f>
        <v>0</v>
      </c>
      <c r="O322" s="68"/>
      <c r="P322" s="69" t="str">
        <f>IF('Filtered Information'!$B$1&gt;=A321,"NO","YES")</f>
        <v>YES</v>
      </c>
    </row>
    <row r="323" spans="1:43" hidden="1">
      <c r="A323" s="64" t="str">
        <f>IFERROR(VLOOKUP(A321,'Filtered Information'!$A$3:$E$66,3,FALSE),"-")</f>
        <v>-</v>
      </c>
      <c r="B323" s="27" t="s">
        <v>57</v>
      </c>
      <c r="C323" s="11"/>
      <c r="D323" s="11"/>
      <c r="E323" s="11"/>
      <c r="F323" s="11"/>
      <c r="G323" s="11"/>
      <c r="H323" s="11"/>
      <c r="I323" s="11"/>
      <c r="J323" s="12">
        <f t="shared" si="28"/>
        <v>0</v>
      </c>
      <c r="K323" s="65">
        <f>IF(J323&gt;0,K321*2,)</f>
        <v>0</v>
      </c>
      <c r="L323" s="13">
        <f t="shared" si="29"/>
        <v>0</v>
      </c>
      <c r="M323" s="70" t="str">
        <f>IF(K321&gt;0,"TOTAL WAGE:",0)</f>
        <v>TOTAL WAGE:</v>
      </c>
      <c r="N323" s="71">
        <f>N321+N322</f>
        <v>0</v>
      </c>
      <c r="O323" s="48">
        <f>N323</f>
        <v>0</v>
      </c>
      <c r="P323" s="69" t="str">
        <f>IF('Filtered Information'!$B$1&gt;=A321,"NO","YES")</f>
        <v>YES</v>
      </c>
    </row>
    <row r="324" spans="1:43" hidden="1">
      <c r="A324" s="82" t="str">
        <f>IFERROR(VLOOKUP(A321,'Filtered Information'!$A$3:$E$64,5,FALSE),"-")</f>
        <v>-</v>
      </c>
      <c r="B324" s="27" t="s">
        <v>58</v>
      </c>
      <c r="C324" s="11"/>
      <c r="D324" s="11"/>
      <c r="E324" s="11"/>
      <c r="F324" s="11"/>
      <c r="G324" s="11"/>
      <c r="H324" s="11"/>
      <c r="I324" s="11"/>
      <c r="J324" s="12">
        <f t="shared" si="28"/>
        <v>0</v>
      </c>
      <c r="K324" s="65"/>
      <c r="L324" s="13">
        <f t="shared" si="29"/>
        <v>0</v>
      </c>
      <c r="M324" s="72"/>
      <c r="N324" s="73"/>
      <c r="P324" s="69" t="str">
        <f>IF('Filtered Information'!$B$1&gt;=A321,"NO","YES")</f>
        <v>YES</v>
      </c>
      <c r="R324" s="74"/>
      <c r="S324" s="75"/>
      <c r="T324" s="75"/>
      <c r="U324" s="75"/>
      <c r="V324" s="75"/>
    </row>
    <row r="325" spans="1:43" s="74" customFormat="1" ht="13.5" hidden="1" thickBot="1">
      <c r="A325" s="83"/>
      <c r="B325" s="46" t="s">
        <v>60</v>
      </c>
      <c r="C325" s="14"/>
      <c r="D325" s="14"/>
      <c r="E325" s="14"/>
      <c r="F325" s="14"/>
      <c r="G325" s="14"/>
      <c r="H325" s="14"/>
      <c r="I325" s="14"/>
      <c r="J325" s="15">
        <f t="shared" si="28"/>
        <v>0</v>
      </c>
      <c r="K325" s="77">
        <f>IF(J325&gt;0,K321,)</f>
        <v>0</v>
      </c>
      <c r="L325" s="16">
        <f t="shared" si="29"/>
        <v>0</v>
      </c>
      <c r="M325" s="78" t="str">
        <f>IF(K321&gt;0,"UNION 3.5%:",0)</f>
        <v>UNION 3.5%:</v>
      </c>
      <c r="N325" s="79">
        <f>N323*0.035</f>
        <v>0</v>
      </c>
      <c r="O325" s="75"/>
      <c r="P325" s="80" t="str">
        <f>IF('Filtered Information'!$B$1&gt;=A321,"NO","YES")</f>
        <v>YES</v>
      </c>
      <c r="R325" s="38"/>
      <c r="S325" s="48"/>
      <c r="T325" s="48"/>
      <c r="U325" s="48"/>
      <c r="V325" s="48"/>
      <c r="AA325" s="81"/>
      <c r="AB325" s="81"/>
    </row>
    <row r="326" spans="1:43" s="53" customFormat="1" ht="13.5" hidden="1" thickTop="1">
      <c r="A326" s="55">
        <f>A321+1</f>
        <v>64</v>
      </c>
      <c r="B326" s="56" t="s">
        <v>54</v>
      </c>
      <c r="C326" s="8"/>
      <c r="D326" s="8"/>
      <c r="E326" s="8"/>
      <c r="F326" s="8"/>
      <c r="G326" s="8"/>
      <c r="H326" s="8"/>
      <c r="I326" s="8"/>
      <c r="J326" s="9">
        <f t="shared" si="28"/>
        <v>0</v>
      </c>
      <c r="K326" s="57" t="str">
        <f>IFERROR(VLOOKUP(A326,'Filtered Information'!$A$3:$D$66,2,FALSE),"0")</f>
        <v>0</v>
      </c>
      <c r="L326" s="10">
        <f t="shared" si="29"/>
        <v>0</v>
      </c>
      <c r="M326" s="58" t="str">
        <f>IF(K326&gt;0,"SUBTOTAL:",0)</f>
        <v>SUBTOTAL:</v>
      </c>
      <c r="N326" s="59">
        <f>SUM(L326:L330)</f>
        <v>0</v>
      </c>
      <c r="O326" s="60"/>
      <c r="P326" s="61" t="str">
        <f>IF('Filtered Information'!$B$1&gt;=A326,"NO","YES")</f>
        <v>YES</v>
      </c>
      <c r="Q326" s="62"/>
      <c r="R326" s="38"/>
      <c r="S326" s="48"/>
      <c r="T326" s="48"/>
      <c r="U326" s="48"/>
      <c r="V326" s="48"/>
      <c r="AA326" s="63"/>
      <c r="AB326" s="63"/>
    </row>
    <row r="327" spans="1:43" hidden="1">
      <c r="A327" s="64" t="str">
        <f>IFERROR(VLOOKUP(A326,'Filtered Information'!$A$3:$E$66,4,FALSE),"-")</f>
        <v>-</v>
      </c>
      <c r="B327" s="27" t="s">
        <v>55</v>
      </c>
      <c r="C327" s="11"/>
      <c r="D327" s="11"/>
      <c r="E327" s="11"/>
      <c r="F327" s="11"/>
      <c r="G327" s="11"/>
      <c r="H327" s="11"/>
      <c r="I327" s="11"/>
      <c r="J327" s="12">
        <f t="shared" si="28"/>
        <v>0</v>
      </c>
      <c r="K327" s="65">
        <f>IF(J327&gt;0,K326*1.5,)</f>
        <v>0</v>
      </c>
      <c r="L327" s="13">
        <f t="shared" si="29"/>
        <v>0</v>
      </c>
      <c r="M327" s="66" t="s">
        <v>56</v>
      </c>
      <c r="N327" s="67">
        <f>N326*0.08</f>
        <v>0</v>
      </c>
      <c r="O327" s="68"/>
      <c r="P327" s="69" t="str">
        <f>IF('Filtered Information'!$B$1&gt;=A326,"NO","YES")</f>
        <v>YES</v>
      </c>
    </row>
    <row r="328" spans="1:43" hidden="1">
      <c r="A328" s="64" t="str">
        <f>IFERROR(VLOOKUP(A326,'Filtered Information'!$A$3:$E$66,3,FALSE),"-")</f>
        <v>-</v>
      </c>
      <c r="B328" s="27" t="s">
        <v>57</v>
      </c>
      <c r="C328" s="11"/>
      <c r="D328" s="11"/>
      <c r="E328" s="11"/>
      <c r="F328" s="11"/>
      <c r="G328" s="11"/>
      <c r="H328" s="11"/>
      <c r="I328" s="11"/>
      <c r="J328" s="12">
        <f t="shared" si="28"/>
        <v>0</v>
      </c>
      <c r="K328" s="65">
        <f>IF(J328&gt;0,K326*2,)</f>
        <v>0</v>
      </c>
      <c r="L328" s="13">
        <f t="shared" si="29"/>
        <v>0</v>
      </c>
      <c r="M328" s="70" t="str">
        <f>IF(K326&gt;0,"TOTAL WAGE:",0)</f>
        <v>TOTAL WAGE:</v>
      </c>
      <c r="N328" s="71">
        <f>N326+N327</f>
        <v>0</v>
      </c>
      <c r="O328" s="48">
        <f>N328</f>
        <v>0</v>
      </c>
      <c r="P328" s="69" t="str">
        <f>IF('Filtered Information'!$B$1&gt;=A326,"NO","YES")</f>
        <v>YES</v>
      </c>
    </row>
    <row r="329" spans="1:43" hidden="1">
      <c r="A329" s="82" t="str">
        <f>IFERROR(VLOOKUP(A326,'Filtered Information'!$A$3:$E$64,5,FALSE),"-")</f>
        <v>-</v>
      </c>
      <c r="B329" s="27" t="s">
        <v>58</v>
      </c>
      <c r="C329" s="11"/>
      <c r="D329" s="11"/>
      <c r="E329" s="11"/>
      <c r="F329" s="11"/>
      <c r="G329" s="11"/>
      <c r="H329" s="11"/>
      <c r="I329" s="11"/>
      <c r="J329" s="12">
        <f t="shared" si="28"/>
        <v>0</v>
      </c>
      <c r="K329" s="65"/>
      <c r="L329" s="13">
        <f t="shared" si="29"/>
        <v>0</v>
      </c>
      <c r="M329" s="72"/>
      <c r="N329" s="73"/>
      <c r="P329" s="69" t="str">
        <f>IF('Filtered Information'!$B$1&gt;=A326,"NO","YES")</f>
        <v>YES</v>
      </c>
      <c r="R329" s="74"/>
      <c r="S329" s="75"/>
      <c r="T329" s="75"/>
      <c r="U329" s="75"/>
      <c r="V329" s="75"/>
    </row>
    <row r="330" spans="1:43" s="74" customFormat="1" ht="13.5" hidden="1" thickBot="1">
      <c r="A330" s="83"/>
      <c r="B330" s="46" t="s">
        <v>60</v>
      </c>
      <c r="C330" s="14"/>
      <c r="D330" s="14"/>
      <c r="E330" s="14"/>
      <c r="F330" s="14"/>
      <c r="G330" s="14"/>
      <c r="H330" s="14"/>
      <c r="I330" s="14"/>
      <c r="J330" s="15">
        <f t="shared" si="28"/>
        <v>0</v>
      </c>
      <c r="K330" s="77">
        <f>IF(J330&gt;0,K326,)</f>
        <v>0</v>
      </c>
      <c r="L330" s="16">
        <f t="shared" si="29"/>
        <v>0</v>
      </c>
      <c r="M330" s="78" t="str">
        <f>IF(K326&gt;0,"UNION 3.5%:",0)</f>
        <v>UNION 3.5%:</v>
      </c>
      <c r="N330" s="79">
        <f>N328*0.035</f>
        <v>0</v>
      </c>
      <c r="O330" s="75"/>
      <c r="P330" s="80" t="str">
        <f>IF('Filtered Information'!$B$1&gt;=A326,"NO","YES")</f>
        <v>YES</v>
      </c>
      <c r="R330" s="38"/>
      <c r="S330" s="48"/>
      <c r="T330" s="48"/>
      <c r="U330" s="48"/>
      <c r="V330" s="48"/>
      <c r="AA330" s="81"/>
      <c r="AB330" s="81"/>
    </row>
    <row r="331" spans="1:43" ht="13.5" thickBot="1">
      <c r="A331" s="84" t="s">
        <v>61</v>
      </c>
      <c r="B331" s="1"/>
      <c r="C331" s="1"/>
      <c r="D331" s="1"/>
      <c r="E331" s="1"/>
      <c r="F331" s="1"/>
      <c r="G331" s="1"/>
      <c r="H331" s="1"/>
      <c r="I331" s="1"/>
      <c r="J331" s="1"/>
      <c r="K331" s="85"/>
      <c r="L331" s="50"/>
      <c r="M331" s="50"/>
      <c r="N331" s="50"/>
      <c r="O331" s="86"/>
      <c r="P331" s="61"/>
      <c r="AL331" s="87" t="s">
        <v>77</v>
      </c>
      <c r="AM331" s="88" t="s">
        <v>67</v>
      </c>
      <c r="AN331" s="89" t="s">
        <v>78</v>
      </c>
      <c r="AO331" s="89" t="s">
        <v>6</v>
      </c>
      <c r="AP331" s="89" t="s">
        <v>79</v>
      </c>
      <c r="AQ331" s="90" t="s">
        <v>80</v>
      </c>
    </row>
    <row r="332" spans="1:43" ht="12.75" customHeight="1">
      <c r="A332" s="91" t="str">
        <f>CONCATENATE("Local #16  I.A.T.S.E.  Health &amp; Welfare Fund ",VLOOKUP($AL$332,$AM$332:$AQ$336,2,FALSE)*100,"% of gross wages.............................")</f>
        <v>Local #16  I.A.T.S.E.  Health &amp; Welfare Fund 14% of gross wages.............................</v>
      </c>
      <c r="B332" s="92"/>
      <c r="C332" s="92"/>
      <c r="D332" s="92"/>
      <c r="E332" s="92"/>
      <c r="F332" s="92"/>
      <c r="G332" s="92"/>
      <c r="H332" s="92"/>
      <c r="I332" s="92"/>
      <c r="J332" s="92"/>
      <c r="K332" s="92"/>
      <c r="L332" s="93">
        <f>SUM(O:O)</f>
        <v>0</v>
      </c>
      <c r="M332" s="13" t="s">
        <v>62</v>
      </c>
      <c r="N332" s="93">
        <f>L332*VLOOKUP($AL$332,$AM$332:$AQ$336,2,FALSE)</f>
        <v>0</v>
      </c>
      <c r="O332" s="38"/>
      <c r="AL332" s="146" t="s">
        <v>73</v>
      </c>
      <c r="AM332" s="94" t="s">
        <v>73</v>
      </c>
      <c r="AN332" s="95">
        <v>0.14000000000000001</v>
      </c>
      <c r="AO332" s="95">
        <v>7.6999999999999999E-2</v>
      </c>
      <c r="AP332" s="95">
        <v>3.5000000000000003E-2</v>
      </c>
      <c r="AQ332" s="96">
        <v>5.0000000000000001E-3</v>
      </c>
    </row>
    <row r="333" spans="1:43" ht="12.75" customHeight="1">
      <c r="A333" s="91" t="str">
        <f>CONCATENATE("Local #16  I.A.T.S.E.  Pension Fund ",VLOOKUP($AL$332,$AM$332:$AQ$336,3,FALSE)*100,"% surchage of gross wages..............................................")</f>
        <v>Local #16  I.A.T.S.E.  Pension Fund 7.7% surchage of gross wages..............................................</v>
      </c>
      <c r="B333" s="92"/>
      <c r="C333" s="92"/>
      <c r="D333" s="92"/>
      <c r="E333" s="92"/>
      <c r="F333" s="92"/>
      <c r="G333" s="92"/>
      <c r="H333" s="92"/>
      <c r="I333" s="92"/>
      <c r="J333" s="92"/>
      <c r="K333" s="92"/>
      <c r="L333" s="93">
        <f>L332</f>
        <v>0</v>
      </c>
      <c r="M333" s="13" t="s">
        <v>62</v>
      </c>
      <c r="N333" s="93">
        <f>L333*VLOOKUP($AL$332,$AM$332:$AQ$336,3,FALSE)</f>
        <v>0</v>
      </c>
      <c r="O333" s="38"/>
      <c r="AL333" s="147"/>
      <c r="AM333" s="94" t="s">
        <v>74</v>
      </c>
      <c r="AN333" s="95">
        <v>0.14000000000000001</v>
      </c>
      <c r="AO333" s="95">
        <v>9.5000000000000001E-2</v>
      </c>
      <c r="AP333" s="95">
        <v>3.5000000000000003E-2</v>
      </c>
      <c r="AQ333" s="96">
        <v>5.0000000000000001E-3</v>
      </c>
    </row>
    <row r="334" spans="1:43" ht="12.75" customHeight="1">
      <c r="A334" s="91" t="str">
        <f>CONCATENATE("Local #16  I.A.T.S.E.  Work Fee ",VLOOKUP($AL$332,$AM$332:$AQ$336,4,FALSE)*100,"% of gross wages..............................................")</f>
        <v>Local #16  I.A.T.S.E.  Work Fee 3.5% of gross wages..............................................</v>
      </c>
      <c r="B334" s="92"/>
      <c r="C334" s="92"/>
      <c r="D334" s="92"/>
      <c r="E334" s="92"/>
      <c r="F334" s="92"/>
      <c r="G334" s="92"/>
      <c r="H334" s="92"/>
      <c r="I334" s="92"/>
      <c r="J334" s="92"/>
      <c r="K334" s="92"/>
      <c r="L334" s="93">
        <f>L332</f>
        <v>0</v>
      </c>
      <c r="M334" s="13" t="s">
        <v>62</v>
      </c>
      <c r="N334" s="93">
        <f>L334*VLOOKUP($AL$332,$AM$332:$AQ$336,4,FALSE)</f>
        <v>0</v>
      </c>
      <c r="O334" s="38"/>
      <c r="AL334" s="147"/>
      <c r="AM334" s="94" t="s">
        <v>75</v>
      </c>
      <c r="AN334" s="95">
        <v>0.14000000000000001</v>
      </c>
      <c r="AO334" s="95">
        <v>9.5000000000000001E-2</v>
      </c>
      <c r="AP334" s="95">
        <v>3.5000000000000003E-2</v>
      </c>
      <c r="AQ334" s="96">
        <v>5.0000000000000001E-3</v>
      </c>
    </row>
    <row r="335" spans="1:43" ht="13.5" customHeight="1">
      <c r="A335" s="91" t="str">
        <f>CONCATENATE("Local #16  I.A.T.S.E.  Training Fee ",VLOOKUP($AL$332,$AM$332:$AQ$336,5,FALSE)*100,"% of gross wages..............................................")</f>
        <v>Local #16  I.A.T.S.E.  Training Fee 0.5% of gross wages..............................................</v>
      </c>
      <c r="B335" s="92"/>
      <c r="C335" s="92"/>
      <c r="D335" s="92"/>
      <c r="E335" s="92"/>
      <c r="F335" s="92"/>
      <c r="G335" s="92"/>
      <c r="H335" s="92"/>
      <c r="I335" s="92"/>
      <c r="J335" s="92"/>
      <c r="K335" s="92"/>
      <c r="L335" s="93">
        <f>L332</f>
        <v>0</v>
      </c>
      <c r="M335" s="13" t="s">
        <v>62</v>
      </c>
      <c r="N335" s="93">
        <f>L335*VLOOKUP($AL$332,$AM$332:$AQ$336,5,FALSE)</f>
        <v>0</v>
      </c>
      <c r="O335" s="38"/>
      <c r="AL335" s="147"/>
      <c r="AM335" s="94" t="s">
        <v>76</v>
      </c>
      <c r="AN335" s="95">
        <v>0.14000000000000001</v>
      </c>
      <c r="AO335" s="95">
        <v>0.105</v>
      </c>
      <c r="AP335" s="95">
        <v>3.5000000000000003E-2</v>
      </c>
      <c r="AQ335" s="96">
        <v>5.0000000000000001E-3</v>
      </c>
    </row>
    <row r="336" spans="1:43" ht="15" customHeight="1" thickBot="1">
      <c r="A336" s="97" t="s">
        <v>63</v>
      </c>
      <c r="B336" s="92"/>
      <c r="C336" s="92"/>
      <c r="D336" s="92"/>
      <c r="E336" s="92"/>
      <c r="F336" s="92"/>
      <c r="G336" s="92"/>
      <c r="H336" s="92"/>
      <c r="I336" s="92"/>
      <c r="J336" s="92"/>
      <c r="K336" s="92"/>
      <c r="L336" s="92"/>
      <c r="M336" s="98"/>
      <c r="N336" s="92"/>
      <c r="AL336" s="148"/>
      <c r="AM336" s="99" t="s">
        <v>81</v>
      </c>
      <c r="AN336" s="100">
        <v>0.15</v>
      </c>
      <c r="AO336" s="100">
        <v>0.14000000000000001</v>
      </c>
      <c r="AP336" s="100">
        <v>3.5000000000000003E-2</v>
      </c>
      <c r="AQ336" s="101">
        <v>0.02</v>
      </c>
    </row>
    <row r="1116" hidden="1"/>
    <row r="16330" hidden="1"/>
  </sheetData>
  <sheetProtection sheet="1" objects="1" scenarios="1" formatRows="0" selectLockedCells="1"/>
  <mergeCells count="4">
    <mergeCell ref="AL332:AL336"/>
    <mergeCell ref="M4:N4"/>
    <mergeCell ref="M5:N5"/>
    <mergeCell ref="M6:N6"/>
  </mergeCells>
  <conditionalFormatting sqref="A11:A330">
    <cfRule type="containsText" dxfId="0" priority="1" operator="containsText" text="CHECK">
      <formula>NOT(ISERROR(SEARCH("CHECK",A11)))</formula>
    </cfRule>
  </conditionalFormatting>
  <dataValidations count="1">
    <dataValidation type="list" allowBlank="1" showInputMessage="1" showErrorMessage="1" sqref="AL332:AL336">
      <formula1>$AM$332:$AM$336</formula1>
    </dataValidation>
  </dataValidations>
  <pageMargins left="0.25" right="0.25" top="0.25" bottom="0.25" header="0.5" footer="0.5"/>
  <pageSetup scale="75" orientation="portrait" r:id="rId1"/>
  <headerFooter alignWithMargins="0">
    <oddFooter>&amp;CPage &amp;P of &amp;N</oddFooter>
  </headerFooter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7</vt:i4>
      </vt:variant>
    </vt:vector>
  </HeadingPairs>
  <TitlesOfParts>
    <vt:vector size="11" baseType="lpstr">
      <vt:lpstr>PDF Information</vt:lpstr>
      <vt:lpstr>Wage and Name</vt:lpstr>
      <vt:lpstr>Filtered Information</vt:lpstr>
      <vt:lpstr>Payroll Sheet</vt:lpstr>
      <vt:lpstr>ADDITION</vt:lpstr>
      <vt:lpstr>Database</vt:lpstr>
      <vt:lpstr>END</vt:lpstr>
      <vt:lpstr>FINISH</vt:lpstr>
      <vt:lpstr>'Payroll Sheet'!Print_Area</vt:lpstr>
      <vt:lpstr>'Payroll Sheet'!Print_Titles</vt:lpstr>
      <vt:lpstr>START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Axvl</dc:creator>
  <cp:lastModifiedBy>Drifter</cp:lastModifiedBy>
  <dcterms:created xsi:type="dcterms:W3CDTF">2014-02-05T22:42:14Z</dcterms:created>
  <dcterms:modified xsi:type="dcterms:W3CDTF">2014-03-21T15:52:04Z</dcterms:modified>
</cp:coreProperties>
</file>